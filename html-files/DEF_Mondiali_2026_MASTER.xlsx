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<sst xmlns="http://schemas.openxmlformats.org/spreadsheetml/2006/main" count="719" uniqueCount="131">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</sst>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11</v>
      </c>
      <c r="J1" s="2" t="s">
        <v>8</v>
      </c>
      <c r="K1" s="1">
        <f>SUM(K3:K74)</f>
        <v>11</v>
      </c>
      <c r="L1" s="2" t="s">
        <v>9</v>
      </c>
      <c r="M1" s="1">
        <f>SUM(M3:M74)</f>
        <v>9</v>
      </c>
      <c r="N1" s="2" t="s">
        <v>10</v>
      </c>
      <c r="O1" s="1">
        <f>SUM(O3:O74)</f>
        <v>6</v>
      </c>
      <c r="P1" s="2" t="s">
        <v>11</v>
      </c>
      <c r="Q1" s="1">
        <f>SUM(Q3:Q74)</f>
        <v>9</v>
      </c>
      <c r="R1" s="2" t="s">
        <v>12</v>
      </c>
      <c r="S1" s="1">
        <f>SUM(S3:S74)</f>
        <v>10</v>
      </c>
      <c r="T1" s="2" t="s">
        <v>13</v>
      </c>
      <c r="U1" s="1">
        <f>SUM(U3:U74)</f>
        <v>11</v>
      </c>
      <c r="V1" s="2" t="s">
        <v>14</v>
      </c>
      <c r="W1" s="1">
        <f>SUM(W3:W74)</f>
        <v>11</v>
      </c>
      <c r="X1" s="2" t="s">
        <v>15</v>
      </c>
      <c r="Y1" s="1">
        <f>SUM(Y3:Y74)</f>
        <v>13</v>
      </c>
      <c r="Z1" s="2" t="s">
        <v>16</v>
      </c>
      <c r="AA1" s="1">
        <f>SUM(AA3:AA74)</f>
        <v>12</v>
      </c>
      <c r="AB1" s="2" t="s">
        <v>17</v>
      </c>
      <c r="AC1" s="1">
        <f>SUM(AC3:AC74)</f>
        <v>9</v>
      </c>
      <c r="AD1" s="2" t="s">
        <v>18</v>
      </c>
      <c r="AE1" s="1">
        <f>SUM(AE3:AE74)</f>
        <v>10</v>
      </c>
      <c r="AF1" s="2" t="s">
        <v>19</v>
      </c>
      <c r="AG1" s="1">
        <f>SUM(AG3:AG74)</f>
        <v>11</v>
      </c>
      <c r="AH1" s="2" t="s">
        <v>20</v>
      </c>
      <c r="AI1" s="1">
        <f>SUM(AI3:AI74)</f>
        <v>13</v>
      </c>
      <c r="AJ1" s="2" t="s">
        <v>21</v>
      </c>
      <c r="AK1" s="1">
        <f>SUM(AK3:AK74)</f>
        <v>12</v>
      </c>
      <c r="AL1" s="2" t="s">
        <v>22</v>
      </c>
      <c r="AM1" s="1">
        <f>SUM(AM3:AM74)</f>
        <v>10</v>
      </c>
      <c r="AN1" s="2" t="s">
        <v>23</v>
      </c>
      <c r="AO1" s="1">
        <f>SUM(AO3:AO74)</f>
        <v>14</v>
      </c>
      <c r="AP1" s="2" t="s">
        <v>24</v>
      </c>
      <c r="AQ1" s="1">
        <f>SUM(AQ3:AQ74)</f>
        <v>13</v>
      </c>
      <c r="AR1" s="2" t="s">
        <v>25</v>
      </c>
      <c r="AS1" s="1">
        <f>SUM(AS3:AS74)</f>
        <v>14</v>
      </c>
      <c r="AT1" s="2" t="s">
        <v>26</v>
      </c>
      <c r="AU1" s="1">
        <f>SUM(AU3:AU74)</f>
        <v>9</v>
      </c>
      <c r="AV1" s="2" t="s">
        <v>27</v>
      </c>
      <c r="AW1" s="1">
        <f>SUM(AW3:AW74)</f>
        <v>9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>
        <v>1.0</v>
      </c>
      <c r="H3" s="6">
        <v>1.0</v>
      </c>
      <c r="I3" s="7">
        <f t="shared" ref="I3:I74" si="1">IF($G3&lt;&gt;"",IF(H3=$G3,1,0),"")</f>
        <v>1</v>
      </c>
      <c r="J3" s="6">
        <v>1.0</v>
      </c>
      <c r="K3" s="7">
        <f t="shared" ref="K3:K74" si="2">IF($G3&lt;&gt;"",IF(J3=$G3,1,0),"")</f>
        <v>1</v>
      </c>
      <c r="L3" s="6">
        <v>1.0</v>
      </c>
      <c r="M3" s="7">
        <f t="shared" ref="M3:M74" si="3">IF($G3&lt;&gt;"",IF(L3=$G3,1,0),"")</f>
        <v>1</v>
      </c>
      <c r="N3" s="6" t="s">
        <v>36</v>
      </c>
      <c r="O3" s="7">
        <f t="shared" ref="O3:O74" si="4">IF($G3&lt;&gt;"",IF(N3=$G3,1,0),"")</f>
        <v>0</v>
      </c>
      <c r="P3" s="6">
        <v>1.0</v>
      </c>
      <c r="Q3" s="7">
        <f t="shared" ref="Q3:Q74" si="5">IF($G3&lt;&gt;"",IF(P3=$G3,1,0),"")</f>
        <v>1</v>
      </c>
      <c r="R3" s="6">
        <v>1.0</v>
      </c>
      <c r="S3" s="7">
        <f t="shared" ref="S3:S74" si="6">IF($G3&lt;&gt;"",IF(R3=$G3,1,0),"")</f>
        <v>1</v>
      </c>
      <c r="T3" s="6">
        <v>1.0</v>
      </c>
      <c r="U3" s="7">
        <f t="shared" ref="U3:U74" si="7">IF($G3&lt;&gt;"",IF(T3=$G3,1,0),"")</f>
        <v>1</v>
      </c>
      <c r="V3" s="6">
        <v>1.0</v>
      </c>
      <c r="W3" s="7">
        <f t="shared" ref="W3:W74" si="8">IF($G3&lt;&gt;"",IF(V3=$G3,1,0),"")</f>
        <v>1</v>
      </c>
      <c r="X3" s="6">
        <v>1.0</v>
      </c>
      <c r="Y3" s="7">
        <f t="shared" ref="Y3:Y74" si="9">IF($G3&lt;&gt;"",IF(X3=$G3,1,0),"")</f>
        <v>1</v>
      </c>
      <c r="Z3" s="6" t="s">
        <v>36</v>
      </c>
      <c r="AA3" s="7">
        <f t="shared" ref="AA3:AA74" si="10">IF($G3&lt;&gt;"",IF(Z3=$G3,1,0),"")</f>
        <v>0</v>
      </c>
      <c r="AB3" s="6" t="s">
        <v>36</v>
      </c>
      <c r="AC3" s="7">
        <f t="shared" ref="AC3:AC74" si="11">IF($G3&lt;&gt;"",IF(AB3=$G3,1,0),"")</f>
        <v>0</v>
      </c>
      <c r="AD3" s="6">
        <v>1.0</v>
      </c>
      <c r="AE3" s="7">
        <f t="shared" ref="AE3:AE74" si="12">IF($G3&lt;&gt;"",IF(AD3=$G3,1,0),"")</f>
        <v>1</v>
      </c>
      <c r="AF3" s="6">
        <v>2.0</v>
      </c>
      <c r="AG3" s="7">
        <f t="shared" ref="AG3:AG74" si="13">IF($G3&lt;&gt;"",IF(AF3=$G3,1,0),"")</f>
        <v>0</v>
      </c>
      <c r="AH3" s="6">
        <v>1.0</v>
      </c>
      <c r="AI3" s="7">
        <f t="shared" ref="AI3:AI74" si="14">IF($G3&lt;&gt;"",IF(AH3=$G3,1,0),"")</f>
        <v>1</v>
      </c>
      <c r="AJ3" s="6">
        <v>1.0</v>
      </c>
      <c r="AK3" s="7">
        <f t="shared" ref="AK3:AK74" si="15">IF($G3&lt;&gt;"",IF(AJ3=$G3,1,0),"")</f>
        <v>1</v>
      </c>
      <c r="AL3" s="6">
        <v>1.0</v>
      </c>
      <c r="AM3" s="7">
        <f t="shared" ref="AM3:AM74" si="16">IF($G3&lt;&gt;"",IF(AL3=$G3,1,0),"")</f>
        <v>1</v>
      </c>
      <c r="AN3" s="6">
        <v>1.0</v>
      </c>
      <c r="AO3" s="7">
        <f t="shared" ref="AO3:AO74" si="17">IF($G3&lt;&gt;"",IF(AN3=$G3,1,0),"")</f>
        <v>1</v>
      </c>
      <c r="AP3" s="6">
        <v>1.0</v>
      </c>
      <c r="AQ3" s="7">
        <f t="shared" ref="AQ3:AQ74" si="18">IF($G3&lt;&gt;"",IF(AP3=$G3,1,0),"")</f>
        <v>1</v>
      </c>
      <c r="AR3" s="6">
        <v>1.0</v>
      </c>
      <c r="AS3" s="7">
        <f t="shared" ref="AS3:AS74" si="19">IF($G3&lt;&gt;"",IF(AR3=$G3,1,0),"")</f>
        <v>1</v>
      </c>
      <c r="AT3" s="6">
        <v>1.0</v>
      </c>
      <c r="AU3" s="7">
        <f t="shared" ref="AU3:AU74" si="20">IF($G3&lt;&gt;"",IF(AT3=$G3,1,0),"")</f>
        <v>1</v>
      </c>
      <c r="AV3" s="6">
        <v>1.0</v>
      </c>
      <c r="AW3" s="7">
        <f t="shared" ref="AW3:AW74" si="21">IF($G3&lt;&gt;"",IF(AV3=$G3,1,0),"")</f>
        <v>1</v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>
        <v>1.0</v>
      </c>
      <c r="H4" s="6">
        <v>1.0</v>
      </c>
      <c r="I4" s="7">
        <f t="shared" si="1"/>
        <v>1</v>
      </c>
      <c r="J4" s="6">
        <v>2.0</v>
      </c>
      <c r="K4" s="7">
        <f t="shared" si="2"/>
        <v>0</v>
      </c>
      <c r="L4" s="6">
        <v>2.0</v>
      </c>
      <c r="M4" s="7">
        <f t="shared" si="3"/>
        <v>0</v>
      </c>
      <c r="N4" s="6">
        <v>2.0</v>
      </c>
      <c r="O4" s="7">
        <f t="shared" si="4"/>
        <v>0</v>
      </c>
      <c r="P4" s="6" t="s">
        <v>36</v>
      </c>
      <c r="Q4" s="7">
        <f t="shared" si="5"/>
        <v>0</v>
      </c>
      <c r="R4" s="6" t="s">
        <v>36</v>
      </c>
      <c r="S4" s="7">
        <f t="shared" si="6"/>
        <v>0</v>
      </c>
      <c r="T4" s="6" t="s">
        <v>36</v>
      </c>
      <c r="U4" s="7">
        <f t="shared" si="7"/>
        <v>0</v>
      </c>
      <c r="V4" s="6" t="s">
        <v>36</v>
      </c>
      <c r="W4" s="7">
        <f t="shared" si="8"/>
        <v>0</v>
      </c>
      <c r="X4" s="6">
        <v>1.0</v>
      </c>
      <c r="Y4" s="7">
        <f t="shared" si="9"/>
        <v>1</v>
      </c>
      <c r="Z4" s="6">
        <v>2.0</v>
      </c>
      <c r="AA4" s="7">
        <f t="shared" si="10"/>
        <v>0</v>
      </c>
      <c r="AB4" s="6">
        <v>1.0</v>
      </c>
      <c r="AC4" s="7">
        <f t="shared" si="11"/>
        <v>1</v>
      </c>
      <c r="AD4" s="6">
        <v>2.0</v>
      </c>
      <c r="AE4" s="7">
        <f t="shared" si="12"/>
        <v>0</v>
      </c>
      <c r="AF4" s="6">
        <v>1.0</v>
      </c>
      <c r="AG4" s="7">
        <f t="shared" si="13"/>
        <v>1</v>
      </c>
      <c r="AH4" s="6" t="s">
        <v>36</v>
      </c>
      <c r="AI4" s="7">
        <f t="shared" si="14"/>
        <v>0</v>
      </c>
      <c r="AJ4" s="6">
        <v>1.0</v>
      </c>
      <c r="AK4" s="7">
        <f t="shared" si="15"/>
        <v>1</v>
      </c>
      <c r="AL4" s="6">
        <v>1.0</v>
      </c>
      <c r="AM4" s="7">
        <f t="shared" si="16"/>
        <v>1</v>
      </c>
      <c r="AN4" s="6">
        <v>1.0</v>
      </c>
      <c r="AO4" s="7">
        <f t="shared" si="17"/>
        <v>1</v>
      </c>
      <c r="AP4" s="6">
        <v>1.0</v>
      </c>
      <c r="AQ4" s="7">
        <f t="shared" si="18"/>
        <v>1</v>
      </c>
      <c r="AR4" s="6">
        <v>2.0</v>
      </c>
      <c r="AS4" s="7">
        <f t="shared" si="19"/>
        <v>0</v>
      </c>
      <c r="AT4" s="6" t="s">
        <v>36</v>
      </c>
      <c r="AU4" s="7">
        <f t="shared" si="20"/>
        <v>0</v>
      </c>
      <c r="AV4" s="6">
        <v>2.0</v>
      </c>
      <c r="AW4" s="7">
        <f t="shared" si="21"/>
        <v>0</v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>
        <v>1.0</v>
      </c>
      <c r="H5" s="6" t="s">
        <v>36</v>
      </c>
      <c r="I5" s="7">
        <f t="shared" si="1"/>
        <v>0</v>
      </c>
      <c r="J5" s="6" t="s">
        <v>36</v>
      </c>
      <c r="K5" s="7">
        <f t="shared" si="2"/>
        <v>0</v>
      </c>
      <c r="L5" s="6" t="s">
        <v>36</v>
      </c>
      <c r="M5" s="7">
        <f t="shared" si="3"/>
        <v>0</v>
      </c>
      <c r="N5" s="6">
        <v>2.0</v>
      </c>
      <c r="O5" s="7">
        <f t="shared" si="4"/>
        <v>0</v>
      </c>
      <c r="P5" s="6">
        <v>1.0</v>
      </c>
      <c r="Q5" s="7">
        <f t="shared" si="5"/>
        <v>1</v>
      </c>
      <c r="R5" s="6">
        <v>2.0</v>
      </c>
      <c r="S5" s="7">
        <f t="shared" si="6"/>
        <v>0</v>
      </c>
      <c r="T5" s="6">
        <v>1.0</v>
      </c>
      <c r="U5" s="7">
        <f t="shared" si="7"/>
        <v>1</v>
      </c>
      <c r="V5" s="6">
        <v>1.0</v>
      </c>
      <c r="W5" s="7">
        <f t="shared" si="8"/>
        <v>1</v>
      </c>
      <c r="X5" s="6">
        <v>1.0</v>
      </c>
      <c r="Y5" s="7">
        <f t="shared" si="9"/>
        <v>1</v>
      </c>
      <c r="Z5" s="6">
        <v>1.0</v>
      </c>
      <c r="AA5" s="7">
        <f t="shared" si="10"/>
        <v>1</v>
      </c>
      <c r="AB5" s="6">
        <v>1.0</v>
      </c>
      <c r="AC5" s="7">
        <f t="shared" si="11"/>
        <v>1</v>
      </c>
      <c r="AD5" s="6">
        <v>1.0</v>
      </c>
      <c r="AE5" s="7">
        <f t="shared" si="12"/>
        <v>1</v>
      </c>
      <c r="AF5" s="6">
        <v>2.0</v>
      </c>
      <c r="AG5" s="7">
        <f t="shared" si="13"/>
        <v>0</v>
      </c>
      <c r="AH5" s="6">
        <v>1.0</v>
      </c>
      <c r="AI5" s="7">
        <f t="shared" si="14"/>
        <v>1</v>
      </c>
      <c r="AJ5" s="6">
        <v>1.0</v>
      </c>
      <c r="AK5" s="7">
        <f t="shared" si="15"/>
        <v>1</v>
      </c>
      <c r="AL5" s="6">
        <v>2.0</v>
      </c>
      <c r="AM5" s="7">
        <f t="shared" si="16"/>
        <v>0</v>
      </c>
      <c r="AN5" s="6">
        <v>1.0</v>
      </c>
      <c r="AO5" s="7">
        <f t="shared" si="17"/>
        <v>1</v>
      </c>
      <c r="AP5" s="6">
        <v>1.0</v>
      </c>
      <c r="AQ5" s="7">
        <f t="shared" si="18"/>
        <v>1</v>
      </c>
      <c r="AR5" s="6">
        <v>1.0</v>
      </c>
      <c r="AS5" s="7">
        <f t="shared" si="19"/>
        <v>1</v>
      </c>
      <c r="AT5" s="6">
        <v>2.0</v>
      </c>
      <c r="AU5" s="7">
        <f t="shared" si="20"/>
        <v>0</v>
      </c>
      <c r="AV5" s="6">
        <v>2.0</v>
      </c>
      <c r="AW5" s="7">
        <f t="shared" si="21"/>
        <v>0</v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>
        <v>1.0</v>
      </c>
      <c r="H6" s="6" t="s">
        <v>36</v>
      </c>
      <c r="I6" s="7">
        <f t="shared" si="1"/>
        <v>0</v>
      </c>
      <c r="J6" s="6">
        <v>1.0</v>
      </c>
      <c r="K6" s="7">
        <f t="shared" si="2"/>
        <v>1</v>
      </c>
      <c r="L6" s="6">
        <v>1.0</v>
      </c>
      <c r="M6" s="7">
        <f t="shared" si="3"/>
        <v>1</v>
      </c>
      <c r="N6" s="6">
        <v>1.0</v>
      </c>
      <c r="O6" s="7">
        <f t="shared" si="4"/>
        <v>1</v>
      </c>
      <c r="P6" s="6" t="s">
        <v>36</v>
      </c>
      <c r="Q6" s="7">
        <f t="shared" si="5"/>
        <v>0</v>
      </c>
      <c r="R6" s="6">
        <v>1.0</v>
      </c>
      <c r="S6" s="7">
        <f t="shared" si="6"/>
        <v>1</v>
      </c>
      <c r="T6" s="6" t="s">
        <v>36</v>
      </c>
      <c r="U6" s="7">
        <f t="shared" si="7"/>
        <v>0</v>
      </c>
      <c r="V6" s="6">
        <v>1.0</v>
      </c>
      <c r="W6" s="7">
        <f t="shared" si="8"/>
        <v>1</v>
      </c>
      <c r="X6" s="6">
        <v>1.0</v>
      </c>
      <c r="Y6" s="7">
        <f t="shared" si="9"/>
        <v>1</v>
      </c>
      <c r="Z6" s="6" t="s">
        <v>36</v>
      </c>
      <c r="AA6" s="7">
        <f t="shared" si="10"/>
        <v>0</v>
      </c>
      <c r="AB6" s="6" t="s">
        <v>36</v>
      </c>
      <c r="AC6" s="7">
        <f t="shared" si="11"/>
        <v>0</v>
      </c>
      <c r="AD6" s="6">
        <v>1.0</v>
      </c>
      <c r="AE6" s="7">
        <f t="shared" si="12"/>
        <v>1</v>
      </c>
      <c r="AF6" s="6" t="s">
        <v>49</v>
      </c>
      <c r="AG6" s="7">
        <f t="shared" si="13"/>
        <v>0</v>
      </c>
      <c r="AH6" s="6">
        <v>1.0</v>
      </c>
      <c r="AI6" s="7">
        <f t="shared" si="14"/>
        <v>1</v>
      </c>
      <c r="AJ6" s="6">
        <v>1.0</v>
      </c>
      <c r="AK6" s="7">
        <f t="shared" si="15"/>
        <v>1</v>
      </c>
      <c r="AL6" s="6" t="s">
        <v>36</v>
      </c>
      <c r="AM6" s="7">
        <f t="shared" si="16"/>
        <v>0</v>
      </c>
      <c r="AN6" s="6">
        <v>1.0</v>
      </c>
      <c r="AO6" s="7">
        <f t="shared" si="17"/>
        <v>1</v>
      </c>
      <c r="AP6" s="6">
        <v>1.0</v>
      </c>
      <c r="AQ6" s="7">
        <f t="shared" si="18"/>
        <v>1</v>
      </c>
      <c r="AR6" s="6">
        <v>1.0</v>
      </c>
      <c r="AS6" s="7">
        <f t="shared" si="19"/>
        <v>1</v>
      </c>
      <c r="AT6" s="6">
        <v>2.0</v>
      </c>
      <c r="AU6" s="7">
        <f t="shared" si="20"/>
        <v>0</v>
      </c>
      <c r="AV6" s="6" t="s">
        <v>36</v>
      </c>
      <c r="AW6" s="7">
        <f t="shared" si="21"/>
        <v>0</v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>
        <v>1.0</v>
      </c>
      <c r="H7" s="6">
        <v>2.0</v>
      </c>
      <c r="I7" s="7">
        <f t="shared" si="1"/>
        <v>0</v>
      </c>
      <c r="J7" s="6">
        <v>2.0</v>
      </c>
      <c r="K7" s="7">
        <f t="shared" si="2"/>
        <v>0</v>
      </c>
      <c r="L7" s="6">
        <v>1.0</v>
      </c>
      <c r="M7" s="7">
        <f t="shared" si="3"/>
        <v>1</v>
      </c>
      <c r="N7" s="6">
        <v>2.0</v>
      </c>
      <c r="O7" s="7">
        <f t="shared" si="4"/>
        <v>0</v>
      </c>
      <c r="P7" s="6">
        <v>2.0</v>
      </c>
      <c r="Q7" s="7">
        <f t="shared" si="5"/>
        <v>0</v>
      </c>
      <c r="R7" s="6">
        <v>2.0</v>
      </c>
      <c r="S7" s="7">
        <f t="shared" si="6"/>
        <v>0</v>
      </c>
      <c r="T7" s="6">
        <v>2.0</v>
      </c>
      <c r="U7" s="7">
        <f t="shared" si="7"/>
        <v>0</v>
      </c>
      <c r="V7" s="6">
        <v>2.0</v>
      </c>
      <c r="W7" s="7">
        <f t="shared" si="8"/>
        <v>0</v>
      </c>
      <c r="X7" s="6">
        <v>2.0</v>
      </c>
      <c r="Y7" s="7">
        <f t="shared" si="9"/>
        <v>0</v>
      </c>
      <c r="Z7" s="6">
        <v>1.0</v>
      </c>
      <c r="AA7" s="7">
        <f t="shared" si="10"/>
        <v>1</v>
      </c>
      <c r="AB7" s="6">
        <v>2.0</v>
      </c>
      <c r="AC7" s="7">
        <f t="shared" si="11"/>
        <v>0</v>
      </c>
      <c r="AD7" s="6" t="s">
        <v>36</v>
      </c>
      <c r="AE7" s="7">
        <f t="shared" si="12"/>
        <v>0</v>
      </c>
      <c r="AF7" s="6">
        <v>2.0</v>
      </c>
      <c r="AG7" s="7">
        <f t="shared" si="13"/>
        <v>0</v>
      </c>
      <c r="AH7" s="6">
        <v>2.0</v>
      </c>
      <c r="AI7" s="7">
        <f t="shared" si="14"/>
        <v>0</v>
      </c>
      <c r="AJ7" s="6">
        <v>2.0</v>
      </c>
      <c r="AK7" s="7">
        <f t="shared" si="15"/>
        <v>0</v>
      </c>
      <c r="AL7" s="6">
        <v>2.0</v>
      </c>
      <c r="AM7" s="7">
        <f t="shared" si="16"/>
        <v>0</v>
      </c>
      <c r="AN7" s="6">
        <v>2.0</v>
      </c>
      <c r="AO7" s="7">
        <f t="shared" si="17"/>
        <v>0</v>
      </c>
      <c r="AP7" s="6">
        <v>2.0</v>
      </c>
      <c r="AQ7" s="7">
        <f t="shared" si="18"/>
        <v>0</v>
      </c>
      <c r="AR7" s="6">
        <v>2.0</v>
      </c>
      <c r="AS7" s="7">
        <f t="shared" si="19"/>
        <v>0</v>
      </c>
      <c r="AT7" s="6">
        <v>2.0</v>
      </c>
      <c r="AU7" s="7">
        <f t="shared" si="20"/>
        <v>0</v>
      </c>
      <c r="AV7" s="6">
        <v>2.0</v>
      </c>
      <c r="AW7" s="7">
        <f t="shared" si="21"/>
        <v>0</v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>
        <v>1.0</v>
      </c>
      <c r="H8" s="6">
        <v>1.0</v>
      </c>
      <c r="I8" s="7">
        <f t="shared" si="1"/>
        <v>1</v>
      </c>
      <c r="J8" s="6">
        <v>1.0</v>
      </c>
      <c r="K8" s="7">
        <f t="shared" si="2"/>
        <v>1</v>
      </c>
      <c r="L8" s="6">
        <v>1.0</v>
      </c>
      <c r="M8" s="7">
        <f t="shared" si="3"/>
        <v>1</v>
      </c>
      <c r="N8" s="6" t="s">
        <v>36</v>
      </c>
      <c r="O8" s="7">
        <f t="shared" si="4"/>
        <v>0</v>
      </c>
      <c r="P8" s="6" t="s">
        <v>36</v>
      </c>
      <c r="Q8" s="7">
        <f t="shared" si="5"/>
        <v>0</v>
      </c>
      <c r="R8" s="6" t="s">
        <v>36</v>
      </c>
      <c r="S8" s="7">
        <f t="shared" si="6"/>
        <v>0</v>
      </c>
      <c r="T8" s="6">
        <v>1.0</v>
      </c>
      <c r="U8" s="7">
        <f t="shared" si="7"/>
        <v>1</v>
      </c>
      <c r="V8" s="6" t="s">
        <v>36</v>
      </c>
      <c r="W8" s="7">
        <f t="shared" si="8"/>
        <v>0</v>
      </c>
      <c r="X8" s="6" t="s">
        <v>36</v>
      </c>
      <c r="Y8" s="7">
        <f t="shared" si="9"/>
        <v>0</v>
      </c>
      <c r="Z8" s="6">
        <v>1.0</v>
      </c>
      <c r="AA8" s="7">
        <f t="shared" si="10"/>
        <v>1</v>
      </c>
      <c r="AB8" s="6" t="s">
        <v>36</v>
      </c>
      <c r="AC8" s="7">
        <f t="shared" si="11"/>
        <v>0</v>
      </c>
      <c r="AD8" s="6">
        <v>1.0</v>
      </c>
      <c r="AE8" s="7">
        <f t="shared" si="12"/>
        <v>1</v>
      </c>
      <c r="AF8" s="6">
        <v>1.0</v>
      </c>
      <c r="AG8" s="7">
        <f t="shared" si="13"/>
        <v>1</v>
      </c>
      <c r="AH8" s="6">
        <v>1.0</v>
      </c>
      <c r="AI8" s="7">
        <f t="shared" si="14"/>
        <v>1</v>
      </c>
      <c r="AJ8" s="6" t="s">
        <v>36</v>
      </c>
      <c r="AK8" s="7">
        <f t="shared" si="15"/>
        <v>0</v>
      </c>
      <c r="AL8" s="6" t="s">
        <v>36</v>
      </c>
      <c r="AM8" s="7">
        <f t="shared" si="16"/>
        <v>0</v>
      </c>
      <c r="AN8" s="6">
        <v>1.0</v>
      </c>
      <c r="AO8" s="7">
        <f t="shared" si="17"/>
        <v>1</v>
      </c>
      <c r="AP8" s="6">
        <v>1.0</v>
      </c>
      <c r="AQ8" s="7">
        <f t="shared" si="18"/>
        <v>1</v>
      </c>
      <c r="AR8" s="6">
        <v>1.0</v>
      </c>
      <c r="AS8" s="7">
        <f t="shared" si="19"/>
        <v>1</v>
      </c>
      <c r="AT8" s="6">
        <v>1.0</v>
      </c>
      <c r="AU8" s="7">
        <f t="shared" si="20"/>
        <v>1</v>
      </c>
      <c r="AV8" s="6">
        <v>1.0</v>
      </c>
      <c r="AW8" s="7">
        <f t="shared" si="21"/>
        <v>1</v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>
        <v>1.0</v>
      </c>
      <c r="H9" s="6">
        <v>2.0</v>
      </c>
      <c r="I9" s="7">
        <f t="shared" si="1"/>
        <v>0</v>
      </c>
      <c r="J9" s="6">
        <v>2.0</v>
      </c>
      <c r="K9" s="7">
        <f t="shared" si="2"/>
        <v>0</v>
      </c>
      <c r="L9" s="6">
        <v>2.0</v>
      </c>
      <c r="M9" s="7">
        <f t="shared" si="3"/>
        <v>0</v>
      </c>
      <c r="N9" s="6">
        <v>2.0</v>
      </c>
      <c r="O9" s="7">
        <f t="shared" si="4"/>
        <v>0</v>
      </c>
      <c r="P9" s="6">
        <v>2.0</v>
      </c>
      <c r="Q9" s="7">
        <f t="shared" si="5"/>
        <v>0</v>
      </c>
      <c r="R9" s="6">
        <v>2.0</v>
      </c>
      <c r="S9" s="7">
        <f t="shared" si="6"/>
        <v>0</v>
      </c>
      <c r="T9" s="6">
        <v>2.0</v>
      </c>
      <c r="U9" s="7">
        <f t="shared" si="7"/>
        <v>0</v>
      </c>
      <c r="V9" s="6" t="s">
        <v>36</v>
      </c>
      <c r="W9" s="7">
        <f t="shared" si="8"/>
        <v>0</v>
      </c>
      <c r="X9" s="6">
        <v>2.0</v>
      </c>
      <c r="Y9" s="7">
        <f t="shared" si="9"/>
        <v>0</v>
      </c>
      <c r="Z9" s="6" t="s">
        <v>36</v>
      </c>
      <c r="AA9" s="7">
        <f t="shared" si="10"/>
        <v>0</v>
      </c>
      <c r="AB9" s="6">
        <v>2.0</v>
      </c>
      <c r="AC9" s="7">
        <f t="shared" si="11"/>
        <v>0</v>
      </c>
      <c r="AD9" s="6">
        <v>2.0</v>
      </c>
      <c r="AE9" s="7">
        <f t="shared" si="12"/>
        <v>0</v>
      </c>
      <c r="AF9" s="6">
        <v>2.0</v>
      </c>
      <c r="AG9" s="7">
        <f t="shared" si="13"/>
        <v>0</v>
      </c>
      <c r="AH9" s="6">
        <v>2.0</v>
      </c>
      <c r="AI9" s="7">
        <f t="shared" si="14"/>
        <v>0</v>
      </c>
      <c r="AJ9" s="6" t="s">
        <v>36</v>
      </c>
      <c r="AK9" s="7">
        <f t="shared" si="15"/>
        <v>0</v>
      </c>
      <c r="AL9" s="6" t="s">
        <v>36</v>
      </c>
      <c r="AM9" s="7">
        <f t="shared" si="16"/>
        <v>0</v>
      </c>
      <c r="AN9" s="6">
        <v>2.0</v>
      </c>
      <c r="AO9" s="7">
        <f t="shared" si="17"/>
        <v>0</v>
      </c>
      <c r="AP9" s="6">
        <v>2.0</v>
      </c>
      <c r="AQ9" s="7">
        <f t="shared" si="18"/>
        <v>0</v>
      </c>
      <c r="AR9" s="6">
        <v>2.0</v>
      </c>
      <c r="AS9" s="7">
        <f t="shared" si="19"/>
        <v>0</v>
      </c>
      <c r="AT9" s="6">
        <v>2.0</v>
      </c>
      <c r="AU9" s="7">
        <f t="shared" si="20"/>
        <v>0</v>
      </c>
      <c r="AV9" s="6">
        <v>2.0</v>
      </c>
      <c r="AW9" s="7">
        <f t="shared" si="21"/>
        <v>0</v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>
        <v>1.0</v>
      </c>
      <c r="H10" s="6">
        <v>2.0</v>
      </c>
      <c r="I10" s="7">
        <f t="shared" si="1"/>
        <v>0</v>
      </c>
      <c r="J10" s="6">
        <v>2.0</v>
      </c>
      <c r="K10" s="7">
        <f t="shared" si="2"/>
        <v>0</v>
      </c>
      <c r="L10" s="6" t="s">
        <v>36</v>
      </c>
      <c r="M10" s="7">
        <f t="shared" si="3"/>
        <v>0</v>
      </c>
      <c r="N10" s="6">
        <v>2.0</v>
      </c>
      <c r="O10" s="7">
        <f t="shared" si="4"/>
        <v>0</v>
      </c>
      <c r="P10" s="6">
        <v>2.0</v>
      </c>
      <c r="Q10" s="7">
        <f t="shared" si="5"/>
        <v>0</v>
      </c>
      <c r="R10" s="6">
        <v>2.0</v>
      </c>
      <c r="S10" s="7">
        <f t="shared" si="6"/>
        <v>0</v>
      </c>
      <c r="T10" s="6">
        <v>2.0</v>
      </c>
      <c r="U10" s="7">
        <f t="shared" si="7"/>
        <v>0</v>
      </c>
      <c r="V10" s="6">
        <v>2.0</v>
      </c>
      <c r="W10" s="7">
        <f t="shared" si="8"/>
        <v>0</v>
      </c>
      <c r="X10" s="6">
        <v>2.0</v>
      </c>
      <c r="Y10" s="7">
        <f t="shared" si="9"/>
        <v>0</v>
      </c>
      <c r="Z10" s="6">
        <v>2.0</v>
      </c>
      <c r="AA10" s="7">
        <f t="shared" si="10"/>
        <v>0</v>
      </c>
      <c r="AB10" s="6">
        <v>2.0</v>
      </c>
      <c r="AC10" s="7">
        <f t="shared" si="11"/>
        <v>0</v>
      </c>
      <c r="AD10" s="6" t="s">
        <v>36</v>
      </c>
      <c r="AE10" s="7">
        <f t="shared" si="12"/>
        <v>0</v>
      </c>
      <c r="AF10" s="6" t="s">
        <v>49</v>
      </c>
      <c r="AG10" s="7">
        <f t="shared" si="13"/>
        <v>0</v>
      </c>
      <c r="AH10" s="6">
        <v>2.0</v>
      </c>
      <c r="AI10" s="7">
        <f t="shared" si="14"/>
        <v>0</v>
      </c>
      <c r="AJ10" s="6">
        <v>1.0</v>
      </c>
      <c r="AK10" s="7">
        <f t="shared" si="15"/>
        <v>1</v>
      </c>
      <c r="AL10" s="6">
        <v>1.0</v>
      </c>
      <c r="AM10" s="7">
        <f t="shared" si="16"/>
        <v>1</v>
      </c>
      <c r="AN10" s="6">
        <v>2.0</v>
      </c>
      <c r="AO10" s="7">
        <f t="shared" si="17"/>
        <v>0</v>
      </c>
      <c r="AP10" s="6">
        <v>2.0</v>
      </c>
      <c r="AQ10" s="7">
        <f t="shared" si="18"/>
        <v>0</v>
      </c>
      <c r="AR10" s="6">
        <v>1.0</v>
      </c>
      <c r="AS10" s="7">
        <f t="shared" si="19"/>
        <v>1</v>
      </c>
      <c r="AT10" s="6">
        <v>2.0</v>
      </c>
      <c r="AU10" s="7">
        <f t="shared" si="20"/>
        <v>0</v>
      </c>
      <c r="AV10" s="6" t="s">
        <v>36</v>
      </c>
      <c r="AW10" s="7">
        <f t="shared" si="21"/>
        <v>0</v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>
        <v>1.0</v>
      </c>
      <c r="H11" s="6">
        <v>1.0</v>
      </c>
      <c r="I11" s="7">
        <f t="shared" si="1"/>
        <v>1</v>
      </c>
      <c r="J11" s="6">
        <v>1.0</v>
      </c>
      <c r="K11" s="7">
        <f t="shared" si="2"/>
        <v>1</v>
      </c>
      <c r="L11" s="6">
        <v>1.0</v>
      </c>
      <c r="M11" s="7">
        <f t="shared" si="3"/>
        <v>1</v>
      </c>
      <c r="N11" s="6">
        <v>1.0</v>
      </c>
      <c r="O11" s="7">
        <f t="shared" si="4"/>
        <v>1</v>
      </c>
      <c r="P11" s="6">
        <v>1.0</v>
      </c>
      <c r="Q11" s="7">
        <f t="shared" si="5"/>
        <v>1</v>
      </c>
      <c r="R11" s="6">
        <v>1.0</v>
      </c>
      <c r="S11" s="7">
        <f t="shared" si="6"/>
        <v>1</v>
      </c>
      <c r="T11" s="6">
        <v>1.0</v>
      </c>
      <c r="U11" s="7">
        <f t="shared" si="7"/>
        <v>1</v>
      </c>
      <c r="V11" s="6">
        <v>1.0</v>
      </c>
      <c r="W11" s="7">
        <f t="shared" si="8"/>
        <v>1</v>
      </c>
      <c r="X11" s="6">
        <v>1.0</v>
      </c>
      <c r="Y11" s="7">
        <f t="shared" si="9"/>
        <v>1</v>
      </c>
      <c r="Z11" s="6">
        <v>1.0</v>
      </c>
      <c r="AA11" s="7">
        <f t="shared" si="10"/>
        <v>1</v>
      </c>
      <c r="AB11" s="6">
        <v>1.0</v>
      </c>
      <c r="AC11" s="7">
        <f t="shared" si="11"/>
        <v>1</v>
      </c>
      <c r="AD11" s="6">
        <v>1.0</v>
      </c>
      <c r="AE11" s="7">
        <f t="shared" si="12"/>
        <v>1</v>
      </c>
      <c r="AF11" s="6">
        <v>1.0</v>
      </c>
      <c r="AG11" s="7">
        <f t="shared" si="13"/>
        <v>1</v>
      </c>
      <c r="AH11" s="6">
        <v>1.0</v>
      </c>
      <c r="AI11" s="7">
        <f t="shared" si="14"/>
        <v>1</v>
      </c>
      <c r="AJ11" s="6">
        <v>1.0</v>
      </c>
      <c r="AK11" s="7">
        <f t="shared" si="15"/>
        <v>1</v>
      </c>
      <c r="AL11" s="6">
        <v>1.0</v>
      </c>
      <c r="AM11" s="7">
        <f t="shared" si="16"/>
        <v>1</v>
      </c>
      <c r="AN11" s="6">
        <v>1.0</v>
      </c>
      <c r="AO11" s="7">
        <f t="shared" si="17"/>
        <v>1</v>
      </c>
      <c r="AP11" s="6">
        <v>1.0</v>
      </c>
      <c r="AQ11" s="7">
        <f t="shared" si="18"/>
        <v>1</v>
      </c>
      <c r="AR11" s="6">
        <v>1.0</v>
      </c>
      <c r="AS11" s="7">
        <f t="shared" si="19"/>
        <v>1</v>
      </c>
      <c r="AT11" s="6">
        <v>1.0</v>
      </c>
      <c r="AU11" s="7">
        <f t="shared" si="20"/>
        <v>1</v>
      </c>
      <c r="AV11" s="6">
        <v>1.0</v>
      </c>
      <c r="AW11" s="7">
        <f t="shared" si="21"/>
        <v>1</v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>
        <v>1.0</v>
      </c>
      <c r="H12" s="6">
        <v>1.0</v>
      </c>
      <c r="I12" s="7">
        <f t="shared" si="1"/>
        <v>1</v>
      </c>
      <c r="J12" s="6">
        <v>1.0</v>
      </c>
      <c r="K12" s="7">
        <f t="shared" si="2"/>
        <v>1</v>
      </c>
      <c r="L12" s="6">
        <v>1.0</v>
      </c>
      <c r="M12" s="7">
        <f t="shared" si="3"/>
        <v>1</v>
      </c>
      <c r="N12" s="6">
        <v>2.0</v>
      </c>
      <c r="O12" s="7">
        <f t="shared" si="4"/>
        <v>0</v>
      </c>
      <c r="P12" s="6" t="s">
        <v>36</v>
      </c>
      <c r="Q12" s="7">
        <f t="shared" si="5"/>
        <v>0</v>
      </c>
      <c r="R12" s="6">
        <v>1.0</v>
      </c>
      <c r="S12" s="7">
        <f t="shared" si="6"/>
        <v>1</v>
      </c>
      <c r="T12" s="6">
        <v>1.0</v>
      </c>
      <c r="U12" s="7">
        <f t="shared" si="7"/>
        <v>1</v>
      </c>
      <c r="V12" s="6">
        <v>1.0</v>
      </c>
      <c r="W12" s="7">
        <f t="shared" si="8"/>
        <v>1</v>
      </c>
      <c r="X12" s="6">
        <v>1.0</v>
      </c>
      <c r="Y12" s="7">
        <f t="shared" si="9"/>
        <v>1</v>
      </c>
      <c r="Z12" s="6">
        <v>1.0</v>
      </c>
      <c r="AA12" s="7">
        <f t="shared" si="10"/>
        <v>1</v>
      </c>
      <c r="AB12" s="6">
        <v>2.0</v>
      </c>
      <c r="AC12" s="7">
        <f t="shared" si="11"/>
        <v>0</v>
      </c>
      <c r="AD12" s="6">
        <v>1.0</v>
      </c>
      <c r="AE12" s="7">
        <f t="shared" si="12"/>
        <v>1</v>
      </c>
      <c r="AF12" s="6">
        <v>1.0</v>
      </c>
      <c r="AG12" s="7">
        <f t="shared" si="13"/>
        <v>1</v>
      </c>
      <c r="AH12" s="6">
        <v>1.0</v>
      </c>
      <c r="AI12" s="7">
        <f t="shared" si="14"/>
        <v>1</v>
      </c>
      <c r="AJ12" s="6">
        <v>1.0</v>
      </c>
      <c r="AK12" s="7">
        <f t="shared" si="15"/>
        <v>1</v>
      </c>
      <c r="AL12" s="6">
        <v>1.0</v>
      </c>
      <c r="AM12" s="7">
        <f t="shared" si="16"/>
        <v>1</v>
      </c>
      <c r="AN12" s="6">
        <v>1.0</v>
      </c>
      <c r="AO12" s="7">
        <f t="shared" si="17"/>
        <v>1</v>
      </c>
      <c r="AP12" s="6">
        <v>1.0</v>
      </c>
      <c r="AQ12" s="7">
        <f t="shared" si="18"/>
        <v>1</v>
      </c>
      <c r="AR12" s="6">
        <v>1.0</v>
      </c>
      <c r="AS12" s="7">
        <f t="shared" si="19"/>
        <v>1</v>
      </c>
      <c r="AT12" s="6">
        <v>1.0</v>
      </c>
      <c r="AU12" s="7">
        <f t="shared" si="20"/>
        <v>1</v>
      </c>
      <c r="AV12" s="6">
        <v>1.0</v>
      </c>
      <c r="AW12" s="7">
        <f t="shared" si="21"/>
        <v>1</v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>
        <v>1.0</v>
      </c>
      <c r="H13" s="6">
        <v>1.0</v>
      </c>
      <c r="I13" s="7">
        <f t="shared" si="1"/>
        <v>1</v>
      </c>
      <c r="J13" s="6" t="s">
        <v>36</v>
      </c>
      <c r="K13" s="7">
        <f t="shared" si="2"/>
        <v>0</v>
      </c>
      <c r="L13" s="6" t="s">
        <v>36</v>
      </c>
      <c r="M13" s="7">
        <f t="shared" si="3"/>
        <v>0</v>
      </c>
      <c r="N13" s="6">
        <v>1.0</v>
      </c>
      <c r="O13" s="7">
        <f t="shared" si="4"/>
        <v>1</v>
      </c>
      <c r="P13" s="6" t="s">
        <v>36</v>
      </c>
      <c r="Q13" s="7">
        <f t="shared" si="5"/>
        <v>0</v>
      </c>
      <c r="R13" s="6" t="s">
        <v>36</v>
      </c>
      <c r="S13" s="7">
        <f t="shared" si="6"/>
        <v>0</v>
      </c>
      <c r="T13" s="6">
        <v>2.0</v>
      </c>
      <c r="U13" s="7">
        <f t="shared" si="7"/>
        <v>0</v>
      </c>
      <c r="V13" s="6">
        <v>1.0</v>
      </c>
      <c r="W13" s="7">
        <f t="shared" si="8"/>
        <v>1</v>
      </c>
      <c r="X13" s="6">
        <v>2.0</v>
      </c>
      <c r="Y13" s="7">
        <f t="shared" si="9"/>
        <v>0</v>
      </c>
      <c r="Z13" s="6" t="s">
        <v>36</v>
      </c>
      <c r="AA13" s="7">
        <f t="shared" si="10"/>
        <v>0</v>
      </c>
      <c r="AB13" s="6">
        <v>1.0</v>
      </c>
      <c r="AC13" s="7">
        <f t="shared" si="11"/>
        <v>1</v>
      </c>
      <c r="AD13" s="6" t="s">
        <v>36</v>
      </c>
      <c r="AE13" s="7">
        <f t="shared" si="12"/>
        <v>0</v>
      </c>
      <c r="AF13" s="6">
        <v>1.0</v>
      </c>
      <c r="AG13" s="7">
        <f t="shared" si="13"/>
        <v>1</v>
      </c>
      <c r="AH13" s="6" t="s">
        <v>36</v>
      </c>
      <c r="AI13" s="7">
        <f t="shared" si="14"/>
        <v>0</v>
      </c>
      <c r="AJ13" s="6">
        <v>1.0</v>
      </c>
      <c r="AK13" s="7">
        <f t="shared" si="15"/>
        <v>1</v>
      </c>
      <c r="AL13" s="6">
        <v>2.0</v>
      </c>
      <c r="AM13" s="7">
        <f t="shared" si="16"/>
        <v>0</v>
      </c>
      <c r="AN13" s="6">
        <v>1.0</v>
      </c>
      <c r="AO13" s="7">
        <f t="shared" si="17"/>
        <v>1</v>
      </c>
      <c r="AP13" s="6">
        <v>2.0</v>
      </c>
      <c r="AQ13" s="7">
        <f t="shared" si="18"/>
        <v>0</v>
      </c>
      <c r="AR13" s="6">
        <v>1.0</v>
      </c>
      <c r="AS13" s="7">
        <f t="shared" si="19"/>
        <v>1</v>
      </c>
      <c r="AT13" s="6">
        <v>2.0</v>
      </c>
      <c r="AU13" s="7">
        <f t="shared" si="20"/>
        <v>0</v>
      </c>
      <c r="AV13" s="6" t="s">
        <v>36</v>
      </c>
      <c r="AW13" s="7">
        <f t="shared" si="21"/>
        <v>0</v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>
        <v>1.0</v>
      </c>
      <c r="H14" s="6" t="s">
        <v>36</v>
      </c>
      <c r="I14" s="7">
        <f t="shared" si="1"/>
        <v>0</v>
      </c>
      <c r="J14" s="6">
        <v>1.0</v>
      </c>
      <c r="K14" s="7">
        <f t="shared" si="2"/>
        <v>1</v>
      </c>
      <c r="L14" s="6" t="s">
        <v>36</v>
      </c>
      <c r="M14" s="7">
        <f t="shared" si="3"/>
        <v>0</v>
      </c>
      <c r="N14" s="6" t="s">
        <v>36</v>
      </c>
      <c r="O14" s="7">
        <f t="shared" si="4"/>
        <v>0</v>
      </c>
      <c r="P14" s="6">
        <v>1.0</v>
      </c>
      <c r="Q14" s="7">
        <f t="shared" si="5"/>
        <v>1</v>
      </c>
      <c r="R14" s="6">
        <v>1.0</v>
      </c>
      <c r="S14" s="7">
        <f t="shared" si="6"/>
        <v>1</v>
      </c>
      <c r="T14" s="6">
        <v>1.0</v>
      </c>
      <c r="U14" s="7">
        <f t="shared" si="7"/>
        <v>1</v>
      </c>
      <c r="V14" s="6">
        <v>1.0</v>
      </c>
      <c r="W14" s="7">
        <f t="shared" si="8"/>
        <v>1</v>
      </c>
      <c r="X14" s="6">
        <v>1.0</v>
      </c>
      <c r="Y14" s="7">
        <f t="shared" si="9"/>
        <v>1</v>
      </c>
      <c r="Z14" s="6">
        <v>1.0</v>
      </c>
      <c r="AA14" s="7">
        <f t="shared" si="10"/>
        <v>1</v>
      </c>
      <c r="AB14" s="6">
        <v>1.0</v>
      </c>
      <c r="AC14" s="7">
        <f t="shared" si="11"/>
        <v>1</v>
      </c>
      <c r="AD14" s="6" t="s">
        <v>36</v>
      </c>
      <c r="AE14" s="7">
        <f t="shared" si="12"/>
        <v>0</v>
      </c>
      <c r="AF14" s="6">
        <v>1.0</v>
      </c>
      <c r="AG14" s="7">
        <f t="shared" si="13"/>
        <v>1</v>
      </c>
      <c r="AH14" s="6">
        <v>1.0</v>
      </c>
      <c r="AI14" s="7">
        <f t="shared" si="14"/>
        <v>1</v>
      </c>
      <c r="AJ14" s="6">
        <v>2.0</v>
      </c>
      <c r="AK14" s="7">
        <f t="shared" si="15"/>
        <v>0</v>
      </c>
      <c r="AL14" s="6">
        <v>1.0</v>
      </c>
      <c r="AM14" s="7">
        <f t="shared" si="16"/>
        <v>1</v>
      </c>
      <c r="AN14" s="6">
        <v>1.0</v>
      </c>
      <c r="AO14" s="7">
        <f t="shared" si="17"/>
        <v>1</v>
      </c>
      <c r="AP14" s="6">
        <v>2.0</v>
      </c>
      <c r="AQ14" s="7">
        <f t="shared" si="18"/>
        <v>0</v>
      </c>
      <c r="AR14" s="6">
        <v>1.0</v>
      </c>
      <c r="AS14" s="7">
        <f t="shared" si="19"/>
        <v>1</v>
      </c>
      <c r="AT14" s="6">
        <v>1.0</v>
      </c>
      <c r="AU14" s="7">
        <f t="shared" si="20"/>
        <v>1</v>
      </c>
      <c r="AV14" s="6">
        <v>2.0</v>
      </c>
      <c r="AW14" s="7">
        <f t="shared" si="21"/>
        <v>0</v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>
        <v>1.0</v>
      </c>
      <c r="H15" s="6">
        <v>1.0</v>
      </c>
      <c r="I15" s="7">
        <f t="shared" si="1"/>
        <v>1</v>
      </c>
      <c r="J15" s="6">
        <v>1.0</v>
      </c>
      <c r="K15" s="7">
        <f t="shared" si="2"/>
        <v>1</v>
      </c>
      <c r="L15" s="6">
        <v>1.0</v>
      </c>
      <c r="M15" s="7">
        <f t="shared" si="3"/>
        <v>1</v>
      </c>
      <c r="N15" s="6">
        <v>1.0</v>
      </c>
      <c r="O15" s="7">
        <f t="shared" si="4"/>
        <v>1</v>
      </c>
      <c r="P15" s="6">
        <v>1.0</v>
      </c>
      <c r="Q15" s="7">
        <f t="shared" si="5"/>
        <v>1</v>
      </c>
      <c r="R15" s="6">
        <v>1.0</v>
      </c>
      <c r="S15" s="7">
        <f t="shared" si="6"/>
        <v>1</v>
      </c>
      <c r="T15" s="6">
        <v>1.0</v>
      </c>
      <c r="U15" s="7">
        <f t="shared" si="7"/>
        <v>1</v>
      </c>
      <c r="V15" s="6">
        <v>1.0</v>
      </c>
      <c r="W15" s="7">
        <f t="shared" si="8"/>
        <v>1</v>
      </c>
      <c r="X15" s="6">
        <v>1.0</v>
      </c>
      <c r="Y15" s="7">
        <f t="shared" si="9"/>
        <v>1</v>
      </c>
      <c r="Z15" s="6">
        <v>1.0</v>
      </c>
      <c r="AA15" s="7">
        <f t="shared" si="10"/>
        <v>1</v>
      </c>
      <c r="AB15" s="6">
        <v>1.0</v>
      </c>
      <c r="AC15" s="7">
        <f t="shared" si="11"/>
        <v>1</v>
      </c>
      <c r="AD15" s="6">
        <v>1.0</v>
      </c>
      <c r="AE15" s="7">
        <f t="shared" si="12"/>
        <v>1</v>
      </c>
      <c r="AF15" s="6">
        <v>1.0</v>
      </c>
      <c r="AG15" s="7">
        <f t="shared" si="13"/>
        <v>1</v>
      </c>
      <c r="AH15" s="6">
        <v>1.0</v>
      </c>
      <c r="AI15" s="7">
        <f t="shared" si="14"/>
        <v>1</v>
      </c>
      <c r="AJ15" s="6">
        <v>1.0</v>
      </c>
      <c r="AK15" s="7">
        <f t="shared" si="15"/>
        <v>1</v>
      </c>
      <c r="AL15" s="6">
        <v>1.0</v>
      </c>
      <c r="AM15" s="7">
        <f t="shared" si="16"/>
        <v>1</v>
      </c>
      <c r="AN15" s="6">
        <v>1.0</v>
      </c>
      <c r="AO15" s="7">
        <f t="shared" si="17"/>
        <v>1</v>
      </c>
      <c r="AP15" s="6">
        <v>1.0</v>
      </c>
      <c r="AQ15" s="7">
        <f t="shared" si="18"/>
        <v>1</v>
      </c>
      <c r="AR15" s="6">
        <v>1.0</v>
      </c>
      <c r="AS15" s="7">
        <f t="shared" si="19"/>
        <v>1</v>
      </c>
      <c r="AT15" s="6">
        <v>1.0</v>
      </c>
      <c r="AU15" s="7">
        <f t="shared" si="20"/>
        <v>1</v>
      </c>
      <c r="AV15" s="6">
        <v>1.0</v>
      </c>
      <c r="AW15" s="7">
        <f t="shared" si="21"/>
        <v>1</v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>
        <v>1.0</v>
      </c>
      <c r="H16" s="6">
        <v>1.0</v>
      </c>
      <c r="I16" s="7">
        <f t="shared" si="1"/>
        <v>1</v>
      </c>
      <c r="J16" s="6">
        <v>1.0</v>
      </c>
      <c r="K16" s="7">
        <f t="shared" si="2"/>
        <v>1</v>
      </c>
      <c r="L16" s="6" t="s">
        <v>36</v>
      </c>
      <c r="M16" s="7">
        <f t="shared" si="3"/>
        <v>0</v>
      </c>
      <c r="N16" s="6">
        <v>2.0</v>
      </c>
      <c r="O16" s="7">
        <f t="shared" si="4"/>
        <v>0</v>
      </c>
      <c r="P16" s="6">
        <v>1.0</v>
      </c>
      <c r="Q16" s="7">
        <f t="shared" si="5"/>
        <v>1</v>
      </c>
      <c r="R16" s="6">
        <v>1.0</v>
      </c>
      <c r="S16" s="7">
        <f t="shared" si="6"/>
        <v>1</v>
      </c>
      <c r="T16" s="6">
        <v>1.0</v>
      </c>
      <c r="U16" s="7">
        <f t="shared" si="7"/>
        <v>1</v>
      </c>
      <c r="V16" s="6">
        <v>1.0</v>
      </c>
      <c r="W16" s="7">
        <f t="shared" si="8"/>
        <v>1</v>
      </c>
      <c r="X16" s="6">
        <v>1.0</v>
      </c>
      <c r="Y16" s="7">
        <f t="shared" si="9"/>
        <v>1</v>
      </c>
      <c r="Z16" s="6">
        <v>1.0</v>
      </c>
      <c r="AA16" s="7">
        <f t="shared" si="10"/>
        <v>1</v>
      </c>
      <c r="AB16" s="6">
        <v>1.0</v>
      </c>
      <c r="AC16" s="7">
        <f t="shared" si="11"/>
        <v>1</v>
      </c>
      <c r="AD16" s="6" t="s">
        <v>36</v>
      </c>
      <c r="AE16" s="7">
        <f t="shared" si="12"/>
        <v>0</v>
      </c>
      <c r="AF16" s="6">
        <v>1.0</v>
      </c>
      <c r="AG16" s="7">
        <f t="shared" si="13"/>
        <v>1</v>
      </c>
      <c r="AH16" s="6">
        <v>1.0</v>
      </c>
      <c r="AI16" s="7">
        <f t="shared" si="14"/>
        <v>1</v>
      </c>
      <c r="AJ16" s="6" t="s">
        <v>36</v>
      </c>
      <c r="AK16" s="7">
        <f t="shared" si="15"/>
        <v>0</v>
      </c>
      <c r="AL16" s="6" t="s">
        <v>36</v>
      </c>
      <c r="AM16" s="7">
        <f t="shared" si="16"/>
        <v>0</v>
      </c>
      <c r="AN16" s="6">
        <v>1.0</v>
      </c>
      <c r="AO16" s="7">
        <f t="shared" si="17"/>
        <v>1</v>
      </c>
      <c r="AP16" s="6">
        <v>1.0</v>
      </c>
      <c r="AQ16" s="7">
        <f t="shared" si="18"/>
        <v>1</v>
      </c>
      <c r="AR16" s="6">
        <v>1.0</v>
      </c>
      <c r="AS16" s="7">
        <f t="shared" si="19"/>
        <v>1</v>
      </c>
      <c r="AT16" s="6">
        <v>1.0</v>
      </c>
      <c r="AU16" s="7">
        <f t="shared" si="20"/>
        <v>1</v>
      </c>
      <c r="AV16" s="6">
        <v>1.0</v>
      </c>
      <c r="AW16" s="7">
        <f t="shared" si="21"/>
        <v>1</v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>
        <v>1.0</v>
      </c>
      <c r="H17" s="6">
        <v>2.0</v>
      </c>
      <c r="I17" s="7">
        <f t="shared" si="1"/>
        <v>0</v>
      </c>
      <c r="J17" s="6">
        <v>2.0</v>
      </c>
      <c r="K17" s="7">
        <f t="shared" si="2"/>
        <v>0</v>
      </c>
      <c r="L17" s="6" t="s">
        <v>36</v>
      </c>
      <c r="M17" s="7">
        <f t="shared" si="3"/>
        <v>0</v>
      </c>
      <c r="N17" s="6">
        <v>2.0</v>
      </c>
      <c r="O17" s="7">
        <f t="shared" si="4"/>
        <v>0</v>
      </c>
      <c r="P17" s="6">
        <v>2.0</v>
      </c>
      <c r="Q17" s="7">
        <f t="shared" si="5"/>
        <v>0</v>
      </c>
      <c r="R17" s="6">
        <v>2.0</v>
      </c>
      <c r="S17" s="7">
        <f t="shared" si="6"/>
        <v>0</v>
      </c>
      <c r="T17" s="6" t="s">
        <v>36</v>
      </c>
      <c r="U17" s="7">
        <f t="shared" si="7"/>
        <v>0</v>
      </c>
      <c r="V17" s="6">
        <v>2.0</v>
      </c>
      <c r="W17" s="7">
        <f t="shared" si="8"/>
        <v>0</v>
      </c>
      <c r="X17" s="6">
        <v>2.0</v>
      </c>
      <c r="Y17" s="7">
        <f t="shared" si="9"/>
        <v>0</v>
      </c>
      <c r="Z17" s="6">
        <v>1.0</v>
      </c>
      <c r="AA17" s="7">
        <f t="shared" si="10"/>
        <v>1</v>
      </c>
      <c r="AB17" s="6">
        <v>2.0</v>
      </c>
      <c r="AC17" s="7">
        <f t="shared" si="11"/>
        <v>0</v>
      </c>
      <c r="AD17" s="6" t="s">
        <v>36</v>
      </c>
      <c r="AE17" s="7">
        <f t="shared" si="12"/>
        <v>0</v>
      </c>
      <c r="AF17" s="6">
        <v>2.0</v>
      </c>
      <c r="AG17" s="7">
        <f t="shared" si="13"/>
        <v>0</v>
      </c>
      <c r="AH17" s="6">
        <v>2.0</v>
      </c>
      <c r="AI17" s="7">
        <f t="shared" si="14"/>
        <v>0</v>
      </c>
      <c r="AJ17" s="6">
        <v>2.0</v>
      </c>
      <c r="AK17" s="7">
        <f t="shared" si="15"/>
        <v>0</v>
      </c>
      <c r="AL17" s="6" t="s">
        <v>36</v>
      </c>
      <c r="AM17" s="7">
        <f t="shared" si="16"/>
        <v>0</v>
      </c>
      <c r="AN17" s="6">
        <v>2.0</v>
      </c>
      <c r="AO17" s="7">
        <f t="shared" si="17"/>
        <v>0</v>
      </c>
      <c r="AP17" s="6">
        <v>2.0</v>
      </c>
      <c r="AQ17" s="7">
        <f t="shared" si="18"/>
        <v>0</v>
      </c>
      <c r="AR17" s="6">
        <v>2.0</v>
      </c>
      <c r="AS17" s="7">
        <f t="shared" si="19"/>
        <v>0</v>
      </c>
      <c r="AT17" s="6">
        <v>2.0</v>
      </c>
      <c r="AU17" s="7">
        <f t="shared" si="20"/>
        <v>0</v>
      </c>
      <c r="AV17" s="6">
        <v>2.0</v>
      </c>
      <c r="AW17" s="7">
        <f t="shared" si="21"/>
        <v>0</v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>
        <v>1.0</v>
      </c>
      <c r="H18" s="6">
        <v>1.0</v>
      </c>
      <c r="I18" s="7">
        <f t="shared" si="1"/>
        <v>1</v>
      </c>
      <c r="J18" s="6" t="s">
        <v>36</v>
      </c>
      <c r="K18" s="7">
        <f t="shared" si="2"/>
        <v>0</v>
      </c>
      <c r="L18" s="6" t="s">
        <v>36</v>
      </c>
      <c r="M18" s="7">
        <f t="shared" si="3"/>
        <v>0</v>
      </c>
      <c r="N18" s="6" t="s">
        <v>36</v>
      </c>
      <c r="O18" s="7">
        <f t="shared" si="4"/>
        <v>0</v>
      </c>
      <c r="P18" s="6" t="s">
        <v>36</v>
      </c>
      <c r="Q18" s="7">
        <f t="shared" si="5"/>
        <v>0</v>
      </c>
      <c r="R18" s="6" t="s">
        <v>36</v>
      </c>
      <c r="S18" s="7">
        <f t="shared" si="6"/>
        <v>0</v>
      </c>
      <c r="T18" s="6" t="s">
        <v>36</v>
      </c>
      <c r="U18" s="7">
        <f t="shared" si="7"/>
        <v>0</v>
      </c>
      <c r="V18" s="6">
        <v>1.0</v>
      </c>
      <c r="W18" s="7">
        <f t="shared" si="8"/>
        <v>1</v>
      </c>
      <c r="X18" s="6">
        <v>1.0</v>
      </c>
      <c r="Y18" s="7">
        <f t="shared" si="9"/>
        <v>1</v>
      </c>
      <c r="Z18" s="6">
        <v>2.0</v>
      </c>
      <c r="AA18" s="7">
        <f t="shared" si="10"/>
        <v>0</v>
      </c>
      <c r="AB18" s="6" t="s">
        <v>36</v>
      </c>
      <c r="AC18" s="7">
        <f t="shared" si="11"/>
        <v>0</v>
      </c>
      <c r="AD18" s="6">
        <v>1.0</v>
      </c>
      <c r="AE18" s="7">
        <f t="shared" si="12"/>
        <v>1</v>
      </c>
      <c r="AF18" s="6" t="s">
        <v>49</v>
      </c>
      <c r="AG18" s="7">
        <f t="shared" si="13"/>
        <v>0</v>
      </c>
      <c r="AH18" s="6">
        <v>1.0</v>
      </c>
      <c r="AI18" s="7">
        <f t="shared" si="14"/>
        <v>1</v>
      </c>
      <c r="AJ18" s="6">
        <v>1.0</v>
      </c>
      <c r="AK18" s="7">
        <f t="shared" si="15"/>
        <v>1</v>
      </c>
      <c r="AL18" s="6">
        <v>1.0</v>
      </c>
      <c r="AM18" s="7">
        <f t="shared" si="16"/>
        <v>1</v>
      </c>
      <c r="AN18" s="6">
        <v>2.0</v>
      </c>
      <c r="AO18" s="7">
        <f t="shared" si="17"/>
        <v>0</v>
      </c>
      <c r="AP18" s="6">
        <v>1.0</v>
      </c>
      <c r="AQ18" s="7">
        <f t="shared" si="18"/>
        <v>1</v>
      </c>
      <c r="AR18" s="6">
        <v>2.0</v>
      </c>
      <c r="AS18" s="7">
        <f t="shared" si="19"/>
        <v>0</v>
      </c>
      <c r="AT18" s="6">
        <v>2.0</v>
      </c>
      <c r="AU18" s="7">
        <f t="shared" si="20"/>
        <v>0</v>
      </c>
      <c r="AV18" s="6" t="s">
        <v>36</v>
      </c>
      <c r="AW18" s="7">
        <f t="shared" si="21"/>
        <v>0</v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>
        <v>1.0</v>
      </c>
      <c r="H19" s="6">
        <v>1.0</v>
      </c>
      <c r="I19" s="7">
        <f t="shared" si="1"/>
        <v>1</v>
      </c>
      <c r="J19" s="6">
        <v>1.0</v>
      </c>
      <c r="K19" s="7">
        <f t="shared" si="2"/>
        <v>1</v>
      </c>
      <c r="L19" s="6">
        <v>1.0</v>
      </c>
      <c r="M19" s="7">
        <f t="shared" si="3"/>
        <v>1</v>
      </c>
      <c r="N19" s="6" t="s">
        <v>36</v>
      </c>
      <c r="O19" s="7">
        <f t="shared" si="4"/>
        <v>0</v>
      </c>
      <c r="P19" s="6">
        <v>1.0</v>
      </c>
      <c r="Q19" s="7">
        <f t="shared" si="5"/>
        <v>1</v>
      </c>
      <c r="R19" s="6">
        <v>1.0</v>
      </c>
      <c r="S19" s="7">
        <f t="shared" si="6"/>
        <v>1</v>
      </c>
      <c r="T19" s="6">
        <v>1.0</v>
      </c>
      <c r="U19" s="7">
        <f t="shared" si="7"/>
        <v>1</v>
      </c>
      <c r="V19" s="6" t="s">
        <v>36</v>
      </c>
      <c r="W19" s="7">
        <f t="shared" si="8"/>
        <v>0</v>
      </c>
      <c r="X19" s="6">
        <v>1.0</v>
      </c>
      <c r="Y19" s="7">
        <f t="shared" si="9"/>
        <v>1</v>
      </c>
      <c r="Z19" s="6">
        <v>1.0</v>
      </c>
      <c r="AA19" s="7">
        <f t="shared" si="10"/>
        <v>1</v>
      </c>
      <c r="AB19" s="6">
        <v>1.0</v>
      </c>
      <c r="AC19" s="7">
        <f t="shared" si="11"/>
        <v>1</v>
      </c>
      <c r="AD19" s="6">
        <v>1.0</v>
      </c>
      <c r="AE19" s="7">
        <f t="shared" si="12"/>
        <v>1</v>
      </c>
      <c r="AF19" s="6">
        <v>1.0</v>
      </c>
      <c r="AG19" s="7">
        <f t="shared" si="13"/>
        <v>1</v>
      </c>
      <c r="AH19" s="6">
        <v>1.0</v>
      </c>
      <c r="AI19" s="7">
        <f t="shared" si="14"/>
        <v>1</v>
      </c>
      <c r="AJ19" s="6">
        <v>2.0</v>
      </c>
      <c r="AK19" s="7">
        <f t="shared" si="15"/>
        <v>0</v>
      </c>
      <c r="AL19" s="6">
        <v>1.0</v>
      </c>
      <c r="AM19" s="7">
        <f t="shared" si="16"/>
        <v>1</v>
      </c>
      <c r="AN19" s="6">
        <v>1.0</v>
      </c>
      <c r="AO19" s="7">
        <f t="shared" si="17"/>
        <v>1</v>
      </c>
      <c r="AP19" s="6">
        <v>1.0</v>
      </c>
      <c r="AQ19" s="7">
        <f t="shared" si="18"/>
        <v>1</v>
      </c>
      <c r="AR19" s="6">
        <v>1.0</v>
      </c>
      <c r="AS19" s="7">
        <f t="shared" si="19"/>
        <v>1</v>
      </c>
      <c r="AT19" s="6">
        <v>2.0</v>
      </c>
      <c r="AU19" s="7">
        <f t="shared" si="20"/>
        <v>0</v>
      </c>
      <c r="AV19" s="6">
        <v>1.0</v>
      </c>
      <c r="AW19" s="7">
        <f t="shared" si="21"/>
        <v>1</v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>
        <v>1.0</v>
      </c>
      <c r="H20" s="6">
        <v>2.0</v>
      </c>
      <c r="I20" s="7">
        <f t="shared" si="1"/>
        <v>0</v>
      </c>
      <c r="J20" s="6">
        <v>2.0</v>
      </c>
      <c r="K20" s="7">
        <f t="shared" si="2"/>
        <v>0</v>
      </c>
      <c r="L20" s="6">
        <v>2.0</v>
      </c>
      <c r="M20" s="7">
        <f t="shared" si="3"/>
        <v>0</v>
      </c>
      <c r="N20" s="6">
        <v>2.0</v>
      </c>
      <c r="O20" s="7">
        <f t="shared" si="4"/>
        <v>0</v>
      </c>
      <c r="P20" s="6">
        <v>2.0</v>
      </c>
      <c r="Q20" s="7">
        <f t="shared" si="5"/>
        <v>0</v>
      </c>
      <c r="R20" s="6">
        <v>2.0</v>
      </c>
      <c r="S20" s="7">
        <f t="shared" si="6"/>
        <v>0</v>
      </c>
      <c r="T20" s="6">
        <v>2.0</v>
      </c>
      <c r="U20" s="7">
        <f t="shared" si="7"/>
        <v>0</v>
      </c>
      <c r="V20" s="6">
        <v>2.0</v>
      </c>
      <c r="W20" s="7">
        <f t="shared" si="8"/>
        <v>0</v>
      </c>
      <c r="X20" s="6">
        <v>2.0</v>
      </c>
      <c r="Y20" s="7">
        <f t="shared" si="9"/>
        <v>0</v>
      </c>
      <c r="Z20" s="6">
        <v>2.0</v>
      </c>
      <c r="AA20" s="7">
        <f t="shared" si="10"/>
        <v>0</v>
      </c>
      <c r="AB20" s="6">
        <v>2.0</v>
      </c>
      <c r="AC20" s="7">
        <f t="shared" si="11"/>
        <v>0</v>
      </c>
      <c r="AD20" s="6" t="s">
        <v>36</v>
      </c>
      <c r="AE20" s="7">
        <f t="shared" si="12"/>
        <v>0</v>
      </c>
      <c r="AF20" s="6">
        <v>2.0</v>
      </c>
      <c r="AG20" s="7">
        <f t="shared" si="13"/>
        <v>0</v>
      </c>
      <c r="AH20" s="6">
        <v>2.0</v>
      </c>
      <c r="AI20" s="7">
        <f t="shared" si="14"/>
        <v>0</v>
      </c>
      <c r="AJ20" s="6">
        <v>2.0</v>
      </c>
      <c r="AK20" s="7">
        <f t="shared" si="15"/>
        <v>0</v>
      </c>
      <c r="AL20" s="6">
        <v>2.0</v>
      </c>
      <c r="AM20" s="7">
        <f t="shared" si="16"/>
        <v>0</v>
      </c>
      <c r="AN20" s="6">
        <v>2.0</v>
      </c>
      <c r="AO20" s="7">
        <f t="shared" si="17"/>
        <v>0</v>
      </c>
      <c r="AP20" s="6">
        <v>2.0</v>
      </c>
      <c r="AQ20" s="7">
        <f t="shared" si="18"/>
        <v>0</v>
      </c>
      <c r="AR20" s="6">
        <v>2.0</v>
      </c>
      <c r="AS20" s="7">
        <f t="shared" si="19"/>
        <v>0</v>
      </c>
      <c r="AT20" s="6">
        <v>2.0</v>
      </c>
      <c r="AU20" s="7">
        <f t="shared" si="20"/>
        <v>0</v>
      </c>
      <c r="AV20" s="6">
        <v>2.0</v>
      </c>
      <c r="AW20" s="7">
        <f t="shared" si="21"/>
        <v>0</v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>
        <v>1.0</v>
      </c>
      <c r="H21" s="6">
        <v>1.0</v>
      </c>
      <c r="I21" s="7">
        <f t="shared" si="1"/>
        <v>1</v>
      </c>
      <c r="J21" s="6">
        <v>1.0</v>
      </c>
      <c r="K21" s="7">
        <f t="shared" si="2"/>
        <v>1</v>
      </c>
      <c r="L21" s="6">
        <v>1.0</v>
      </c>
      <c r="M21" s="7">
        <f t="shared" si="3"/>
        <v>1</v>
      </c>
      <c r="N21" s="6">
        <v>1.0</v>
      </c>
      <c r="O21" s="7">
        <f t="shared" si="4"/>
        <v>1</v>
      </c>
      <c r="P21" s="6">
        <v>1.0</v>
      </c>
      <c r="Q21" s="7">
        <f t="shared" si="5"/>
        <v>1</v>
      </c>
      <c r="R21" s="6">
        <v>1.0</v>
      </c>
      <c r="S21" s="7">
        <f t="shared" si="6"/>
        <v>1</v>
      </c>
      <c r="T21" s="6">
        <v>1.0</v>
      </c>
      <c r="U21" s="7">
        <f t="shared" si="7"/>
        <v>1</v>
      </c>
      <c r="V21" s="6" t="s">
        <v>36</v>
      </c>
      <c r="W21" s="7">
        <f t="shared" si="8"/>
        <v>0</v>
      </c>
      <c r="X21" s="6">
        <v>1.0</v>
      </c>
      <c r="Y21" s="7">
        <f t="shared" si="9"/>
        <v>1</v>
      </c>
      <c r="Z21" s="6">
        <v>1.0</v>
      </c>
      <c r="AA21" s="7">
        <f t="shared" si="10"/>
        <v>1</v>
      </c>
      <c r="AB21" s="6">
        <v>1.0</v>
      </c>
      <c r="AC21" s="7">
        <f t="shared" si="11"/>
        <v>1</v>
      </c>
      <c r="AD21" s="6">
        <v>1.0</v>
      </c>
      <c r="AE21" s="7">
        <f t="shared" si="12"/>
        <v>1</v>
      </c>
      <c r="AF21" s="6">
        <v>1.0</v>
      </c>
      <c r="AG21" s="7">
        <f t="shared" si="13"/>
        <v>1</v>
      </c>
      <c r="AH21" s="6">
        <v>1.0</v>
      </c>
      <c r="AI21" s="7">
        <f t="shared" si="14"/>
        <v>1</v>
      </c>
      <c r="AJ21" s="6">
        <v>1.0</v>
      </c>
      <c r="AK21" s="7">
        <f t="shared" si="15"/>
        <v>1</v>
      </c>
      <c r="AL21" s="6">
        <v>1.0</v>
      </c>
      <c r="AM21" s="7">
        <f t="shared" si="16"/>
        <v>1</v>
      </c>
      <c r="AN21" s="6">
        <v>1.0</v>
      </c>
      <c r="AO21" s="7">
        <f t="shared" si="17"/>
        <v>1</v>
      </c>
      <c r="AP21" s="6">
        <v>1.0</v>
      </c>
      <c r="AQ21" s="7">
        <f t="shared" si="18"/>
        <v>1</v>
      </c>
      <c r="AR21" s="6">
        <v>1.0</v>
      </c>
      <c r="AS21" s="7">
        <f t="shared" si="19"/>
        <v>1</v>
      </c>
      <c r="AT21" s="6">
        <v>1.0</v>
      </c>
      <c r="AU21" s="7">
        <f t="shared" si="20"/>
        <v>1</v>
      </c>
      <c r="AV21" s="6">
        <v>1.0</v>
      </c>
      <c r="AW21" s="7">
        <f t="shared" si="21"/>
        <v>1</v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>
        <v>1.0</v>
      </c>
      <c r="H22" s="6" t="s">
        <v>36</v>
      </c>
      <c r="I22" s="7">
        <f t="shared" si="1"/>
        <v>0</v>
      </c>
      <c r="J22" s="6">
        <v>1.0</v>
      </c>
      <c r="K22" s="7">
        <f t="shared" si="2"/>
        <v>1</v>
      </c>
      <c r="L22" s="6" t="s">
        <v>36</v>
      </c>
      <c r="M22" s="7">
        <f t="shared" si="3"/>
        <v>0</v>
      </c>
      <c r="N22" s="6">
        <v>1.0</v>
      </c>
      <c r="O22" s="7">
        <f t="shared" si="4"/>
        <v>1</v>
      </c>
      <c r="P22" s="6">
        <v>1.0</v>
      </c>
      <c r="Q22" s="7">
        <f t="shared" si="5"/>
        <v>1</v>
      </c>
      <c r="R22" s="6">
        <v>1.0</v>
      </c>
      <c r="S22" s="7">
        <f t="shared" si="6"/>
        <v>1</v>
      </c>
      <c r="T22" s="6">
        <v>1.0</v>
      </c>
      <c r="U22" s="7">
        <f t="shared" si="7"/>
        <v>1</v>
      </c>
      <c r="V22" s="6">
        <v>1.0</v>
      </c>
      <c r="W22" s="7">
        <f t="shared" si="8"/>
        <v>1</v>
      </c>
      <c r="X22" s="6">
        <v>1.0</v>
      </c>
      <c r="Y22" s="7">
        <f t="shared" si="9"/>
        <v>1</v>
      </c>
      <c r="Z22" s="6">
        <v>1.0</v>
      </c>
      <c r="AA22" s="7">
        <f t="shared" si="10"/>
        <v>1</v>
      </c>
      <c r="AB22" s="6" t="s">
        <v>36</v>
      </c>
      <c r="AC22" s="7">
        <f t="shared" si="11"/>
        <v>0</v>
      </c>
      <c r="AD22" s="6" t="s">
        <v>36</v>
      </c>
      <c r="AE22" s="7">
        <f t="shared" si="12"/>
        <v>0</v>
      </c>
      <c r="AF22" s="6">
        <v>1.0</v>
      </c>
      <c r="AG22" s="7">
        <f t="shared" si="13"/>
        <v>1</v>
      </c>
      <c r="AH22" s="6">
        <v>1.0</v>
      </c>
      <c r="AI22" s="7">
        <f t="shared" si="14"/>
        <v>1</v>
      </c>
      <c r="AJ22" s="6">
        <v>1.0</v>
      </c>
      <c r="AK22" s="7">
        <f t="shared" si="15"/>
        <v>1</v>
      </c>
      <c r="AL22" s="6" t="s">
        <v>36</v>
      </c>
      <c r="AM22" s="7">
        <f t="shared" si="16"/>
        <v>0</v>
      </c>
      <c r="AN22" s="6">
        <v>1.0</v>
      </c>
      <c r="AO22" s="7">
        <f t="shared" si="17"/>
        <v>1</v>
      </c>
      <c r="AP22" s="6">
        <v>1.0</v>
      </c>
      <c r="AQ22" s="7">
        <f t="shared" si="18"/>
        <v>1</v>
      </c>
      <c r="AR22" s="6">
        <v>1.0</v>
      </c>
      <c r="AS22" s="7">
        <f t="shared" si="19"/>
        <v>1</v>
      </c>
      <c r="AT22" s="6">
        <v>1.0</v>
      </c>
      <c r="AU22" s="7">
        <f t="shared" si="20"/>
        <v>1</v>
      </c>
      <c r="AV22" s="6">
        <v>1.0</v>
      </c>
      <c r="AW22" s="7">
        <f t="shared" si="21"/>
        <v>1</v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8"/>
      <c r="H23" s="6">
        <v>1.0</v>
      </c>
      <c r="I23" s="7" t="str">
        <f t="shared" si="1"/>
        <v/>
      </c>
      <c r="J23" s="6">
        <v>1.0</v>
      </c>
      <c r="K23" s="7" t="str">
        <f t="shared" si="2"/>
        <v/>
      </c>
      <c r="L23" s="6">
        <v>1.0</v>
      </c>
      <c r="M23" s="7" t="str">
        <f t="shared" si="3"/>
        <v/>
      </c>
      <c r="N23" s="6">
        <v>1.0</v>
      </c>
      <c r="O23" s="7" t="str">
        <f t="shared" si="4"/>
        <v/>
      </c>
      <c r="P23" s="6">
        <v>1.0</v>
      </c>
      <c r="Q23" s="7" t="str">
        <f t="shared" si="5"/>
        <v/>
      </c>
      <c r="R23" s="6">
        <v>1.0</v>
      </c>
      <c r="S23" s="7" t="str">
        <f t="shared" si="6"/>
        <v/>
      </c>
      <c r="T23" s="6">
        <v>1.0</v>
      </c>
      <c r="U23" s="7" t="str">
        <f t="shared" si="7"/>
        <v/>
      </c>
      <c r="V23" s="6">
        <v>1.0</v>
      </c>
      <c r="W23" s="7" t="str">
        <f t="shared" si="8"/>
        <v/>
      </c>
      <c r="X23" s="6">
        <v>1.0</v>
      </c>
      <c r="Y23" s="7" t="str">
        <f t="shared" si="9"/>
        <v/>
      </c>
      <c r="Z23" s="6">
        <v>1.0</v>
      </c>
      <c r="AA23" s="7" t="str">
        <f t="shared" si="10"/>
        <v/>
      </c>
      <c r="AB23" s="6">
        <v>1.0</v>
      </c>
      <c r="AC23" s="7" t="str">
        <f t="shared" si="11"/>
        <v/>
      </c>
      <c r="AD23" s="6">
        <v>1.0</v>
      </c>
      <c r="AE23" s="7" t="str">
        <f t="shared" si="12"/>
        <v/>
      </c>
      <c r="AF23" s="6">
        <v>1.0</v>
      </c>
      <c r="AG23" s="7" t="str">
        <f t="shared" si="13"/>
        <v/>
      </c>
      <c r="AH23" s="6">
        <v>1.0</v>
      </c>
      <c r="AI23" s="7" t="str">
        <f t="shared" si="14"/>
        <v/>
      </c>
      <c r="AJ23" s="6">
        <v>1.0</v>
      </c>
      <c r="AK23" s="7" t="str">
        <f t="shared" si="15"/>
        <v/>
      </c>
      <c r="AL23" s="6">
        <v>1.0</v>
      </c>
      <c r="AM23" s="7" t="str">
        <f t="shared" si="16"/>
        <v/>
      </c>
      <c r="AN23" s="6">
        <v>1.0</v>
      </c>
      <c r="AO23" s="7" t="str">
        <f t="shared" si="17"/>
        <v/>
      </c>
      <c r="AP23" s="6">
        <v>1.0</v>
      </c>
      <c r="AQ23" s="7" t="str">
        <f t="shared" si="18"/>
        <v/>
      </c>
      <c r="AR23" s="6">
        <v>1.0</v>
      </c>
      <c r="AS23" s="7" t="str">
        <f t="shared" si="19"/>
        <v/>
      </c>
      <c r="AT23" s="6">
        <v>1.0</v>
      </c>
      <c r="AU23" s="7" t="str">
        <f t="shared" si="20"/>
        <v/>
      </c>
      <c r="AV23" s="6">
        <v>1.0</v>
      </c>
      <c r="AW23" s="7" t="str">
        <f t="shared" si="21"/>
        <v/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8"/>
      <c r="H24" s="6">
        <v>1.0</v>
      </c>
      <c r="I24" s="7" t="str">
        <f t="shared" si="1"/>
        <v/>
      </c>
      <c r="J24" s="6">
        <v>1.0</v>
      </c>
      <c r="K24" s="7" t="str">
        <f t="shared" si="2"/>
        <v/>
      </c>
      <c r="L24" s="6">
        <v>1.0</v>
      </c>
      <c r="M24" s="7" t="str">
        <f t="shared" si="3"/>
        <v/>
      </c>
      <c r="N24" s="6" t="s">
        <v>36</v>
      </c>
      <c r="O24" s="7" t="str">
        <f t="shared" si="4"/>
        <v/>
      </c>
      <c r="P24" s="6" t="s">
        <v>36</v>
      </c>
      <c r="Q24" s="7" t="str">
        <f t="shared" si="5"/>
        <v/>
      </c>
      <c r="R24" s="6">
        <v>1.0</v>
      </c>
      <c r="S24" s="7" t="str">
        <f t="shared" si="6"/>
        <v/>
      </c>
      <c r="T24" s="6">
        <v>1.0</v>
      </c>
      <c r="U24" s="7" t="str">
        <f t="shared" si="7"/>
        <v/>
      </c>
      <c r="V24" s="6" t="s">
        <v>36</v>
      </c>
      <c r="W24" s="7" t="str">
        <f t="shared" si="8"/>
        <v/>
      </c>
      <c r="X24" s="6" t="s">
        <v>36</v>
      </c>
      <c r="Y24" s="7" t="str">
        <f t="shared" si="9"/>
        <v/>
      </c>
      <c r="Z24" s="6">
        <v>1.0</v>
      </c>
      <c r="AA24" s="7" t="str">
        <f t="shared" si="10"/>
        <v/>
      </c>
      <c r="AB24" s="6" t="s">
        <v>36</v>
      </c>
      <c r="AC24" s="7" t="str">
        <f t="shared" si="11"/>
        <v/>
      </c>
      <c r="AD24" s="6">
        <v>1.0</v>
      </c>
      <c r="AE24" s="7" t="str">
        <f t="shared" si="12"/>
        <v/>
      </c>
      <c r="AF24" s="6" t="s">
        <v>49</v>
      </c>
      <c r="AG24" s="7" t="str">
        <f t="shared" si="13"/>
        <v/>
      </c>
      <c r="AH24" s="6">
        <v>1.0</v>
      </c>
      <c r="AI24" s="7" t="str">
        <f t="shared" si="14"/>
        <v/>
      </c>
      <c r="AJ24" s="6" t="s">
        <v>36</v>
      </c>
      <c r="AK24" s="7" t="str">
        <f t="shared" si="15"/>
        <v/>
      </c>
      <c r="AL24" s="6">
        <v>2.0</v>
      </c>
      <c r="AM24" s="7" t="str">
        <f t="shared" si="16"/>
        <v/>
      </c>
      <c r="AN24" s="6" t="s">
        <v>36</v>
      </c>
      <c r="AO24" s="7" t="str">
        <f t="shared" si="17"/>
        <v/>
      </c>
      <c r="AP24" s="6">
        <v>1.0</v>
      </c>
      <c r="AQ24" s="7" t="str">
        <f t="shared" si="18"/>
        <v/>
      </c>
      <c r="AR24" s="6">
        <v>1.0</v>
      </c>
      <c r="AS24" s="7" t="str">
        <f t="shared" si="19"/>
        <v/>
      </c>
      <c r="AT24" s="6">
        <v>1.0</v>
      </c>
      <c r="AU24" s="7" t="str">
        <f t="shared" si="20"/>
        <v/>
      </c>
      <c r="AV24" s="6">
        <v>1.0</v>
      </c>
      <c r="AW24" s="7" t="str">
        <f t="shared" si="21"/>
        <v/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8"/>
      <c r="H25" s="6" t="s">
        <v>36</v>
      </c>
      <c r="I25" s="7" t="str">
        <f t="shared" si="1"/>
        <v/>
      </c>
      <c r="J25" s="6">
        <v>1.0</v>
      </c>
      <c r="K25" s="7" t="str">
        <f t="shared" si="2"/>
        <v/>
      </c>
      <c r="L25" s="6" t="s">
        <v>36</v>
      </c>
      <c r="M25" s="7" t="str">
        <f t="shared" si="3"/>
        <v/>
      </c>
      <c r="N25" s="6">
        <v>1.0</v>
      </c>
      <c r="O25" s="7" t="str">
        <f t="shared" si="4"/>
        <v/>
      </c>
      <c r="P25" s="6" t="s">
        <v>36</v>
      </c>
      <c r="Q25" s="7" t="str">
        <f t="shared" si="5"/>
        <v/>
      </c>
      <c r="R25" s="6">
        <v>1.0</v>
      </c>
      <c r="S25" s="7" t="str">
        <f t="shared" si="6"/>
        <v/>
      </c>
      <c r="T25" s="6">
        <v>1.0</v>
      </c>
      <c r="U25" s="7" t="str">
        <f t="shared" si="7"/>
        <v/>
      </c>
      <c r="V25" s="6">
        <v>1.0</v>
      </c>
      <c r="W25" s="7" t="str">
        <f t="shared" si="8"/>
        <v/>
      </c>
      <c r="X25" s="6">
        <v>1.0</v>
      </c>
      <c r="Y25" s="7" t="str">
        <f t="shared" si="9"/>
        <v/>
      </c>
      <c r="Z25" s="6" t="s">
        <v>36</v>
      </c>
      <c r="AA25" s="7" t="str">
        <f t="shared" si="10"/>
        <v/>
      </c>
      <c r="AB25" s="6">
        <v>1.0</v>
      </c>
      <c r="AC25" s="7" t="str">
        <f t="shared" si="11"/>
        <v/>
      </c>
      <c r="AD25" s="6" t="s">
        <v>36</v>
      </c>
      <c r="AE25" s="7" t="str">
        <f t="shared" si="12"/>
        <v/>
      </c>
      <c r="AF25" s="6">
        <v>2.0</v>
      </c>
      <c r="AG25" s="7" t="str">
        <f t="shared" si="13"/>
        <v/>
      </c>
      <c r="AH25" s="6" t="s">
        <v>36</v>
      </c>
      <c r="AI25" s="7" t="str">
        <f t="shared" si="14"/>
        <v/>
      </c>
      <c r="AJ25" s="6">
        <v>1.0</v>
      </c>
      <c r="AK25" s="7" t="str">
        <f t="shared" si="15"/>
        <v/>
      </c>
      <c r="AL25" s="6">
        <v>1.0</v>
      </c>
      <c r="AM25" s="7" t="str">
        <f t="shared" si="16"/>
        <v/>
      </c>
      <c r="AN25" s="6">
        <v>1.0</v>
      </c>
      <c r="AO25" s="7" t="str">
        <f t="shared" si="17"/>
        <v/>
      </c>
      <c r="AP25" s="6">
        <v>2.0</v>
      </c>
      <c r="AQ25" s="7" t="str">
        <f t="shared" si="18"/>
        <v/>
      </c>
      <c r="AR25" s="6">
        <v>2.0</v>
      </c>
      <c r="AS25" s="7" t="str">
        <f t="shared" si="19"/>
        <v/>
      </c>
      <c r="AT25" s="6">
        <v>1.0</v>
      </c>
      <c r="AU25" s="7" t="str">
        <f t="shared" si="20"/>
        <v/>
      </c>
      <c r="AV25" s="6">
        <v>1.0</v>
      </c>
      <c r="AW25" s="7" t="str">
        <f t="shared" si="21"/>
        <v/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8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8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8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8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8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8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8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8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8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8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8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8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8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8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8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8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8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8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8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8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8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8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8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8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9">
        <v>0.16666666666666666</v>
      </c>
      <c r="D50" s="1" t="s">
        <v>99</v>
      </c>
      <c r="E50" s="4" t="s">
        <v>109</v>
      </c>
      <c r="F50" s="4" t="s">
        <v>101</v>
      </c>
      <c r="G50" s="8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8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8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8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8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8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8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8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8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8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8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8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8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8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8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8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8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8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8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8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8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8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8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8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8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1" t="s">
        <v>125</v>
      </c>
      <c r="B1" s="12"/>
      <c r="C1" s="12"/>
      <c r="D1" s="12"/>
      <c r="E1" s="12"/>
      <c r="F1" s="12"/>
      <c r="G1" s="12"/>
      <c r="H1" s="12"/>
      <c r="I1" s="13"/>
    </row>
    <row r="2" ht="14.25" customHeight="1">
      <c r="A2" s="14"/>
      <c r="I2" s="15"/>
    </row>
    <row r="3" ht="14.25" customHeight="1">
      <c r="A3" s="14"/>
      <c r="I3" s="15"/>
    </row>
    <row r="4" ht="14.25" customHeight="1">
      <c r="A4" s="14"/>
      <c r="I4" s="15"/>
    </row>
    <row r="5" ht="14.25" customHeight="1">
      <c r="A5" s="14"/>
      <c r="I5" s="15"/>
    </row>
    <row r="6" ht="14.25" customHeight="1">
      <c r="A6" s="14"/>
      <c r="I6" s="15"/>
    </row>
    <row r="7" ht="14.25" customHeight="1">
      <c r="A7" s="14"/>
      <c r="I7" s="15"/>
    </row>
    <row r="8" ht="14.25" customHeight="1">
      <c r="A8" s="14"/>
      <c r="I8" s="15"/>
    </row>
    <row r="9" ht="14.25" customHeight="1">
      <c r="A9" s="14"/>
      <c r="I9" s="15"/>
    </row>
    <row r="10" ht="14.25" customHeight="1">
      <c r="A10" s="14"/>
      <c r="I10" s="15"/>
    </row>
    <row r="11" ht="14.25" customHeight="1">
      <c r="A11" s="14"/>
      <c r="I11" s="15"/>
    </row>
    <row r="12" ht="14.25" customHeight="1">
      <c r="A12" s="14"/>
      <c r="I12" s="15"/>
    </row>
    <row r="13" ht="14.25" customHeight="1">
      <c r="A13" s="14"/>
      <c r="I13" s="15"/>
    </row>
    <row r="14" ht="14.25" customHeight="1">
      <c r="A14" s="14"/>
      <c r="I14" s="15"/>
    </row>
    <row r="15" ht="14.25" customHeight="1">
      <c r="A15" s="14"/>
      <c r="I15" s="15"/>
    </row>
    <row r="16" ht="14.25" customHeight="1">
      <c r="A16" s="14"/>
      <c r="I16" s="15"/>
    </row>
    <row r="17" ht="14.25" customHeight="1">
      <c r="A17" s="14"/>
      <c r="I17" s="15"/>
    </row>
    <row r="18" ht="14.25" customHeight="1">
      <c r="A18" s="14"/>
      <c r="I18" s="15"/>
    </row>
    <row r="19" ht="14.25" customHeight="1">
      <c r="A19" s="14"/>
      <c r="I19" s="15"/>
    </row>
    <row r="20" ht="14.25" customHeight="1">
      <c r="A20" s="14"/>
      <c r="I20" s="15"/>
    </row>
    <row r="21" ht="14.25" customHeight="1">
      <c r="A21" s="14"/>
      <c r="I21" s="15"/>
    </row>
    <row r="22" ht="14.25" customHeight="1">
      <c r="A22" s="14"/>
      <c r="I22" s="15"/>
    </row>
    <row r="23" ht="14.25" customHeight="1">
      <c r="A23" s="16"/>
      <c r="B23" s="17"/>
      <c r="C23" s="17"/>
      <c r="D23" s="17"/>
      <c r="E23" s="17"/>
      <c r="F23" s="17"/>
      <c r="G23" s="17"/>
      <c r="H23" s="17"/>
      <c r="I23" s="18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10">
        <v>1.0</v>
      </c>
    </row>
    <row r="2" ht="14.25" customHeight="1">
      <c r="A2" s="10" t="s">
        <v>36</v>
      </c>
    </row>
    <row r="3" ht="14.25" customHeight="1">
      <c r="A3" s="10">
        <v>2.0</v>
      </c>
    </row>
    <row r="4" ht="14.25" customHeight="1">
      <c r="A4" s="10"/>
      <c r="B4" s="19" t="s">
        <v>126</v>
      </c>
      <c r="C4" s="19" t="s">
        <v>30</v>
      </c>
    </row>
    <row r="5" ht="14.25" customHeight="1">
      <c r="A5" s="10"/>
      <c r="B5" s="19" t="str">
        <f>'Previsioni partecipanti'!H1</f>
        <v>Leo Proietti</v>
      </c>
      <c r="C5" s="19">
        <f>'Previsioni partecipanti'!I1</f>
        <v>11</v>
      </c>
    </row>
    <row r="6" ht="14.25" customHeight="1">
      <c r="A6" s="10"/>
      <c r="B6" s="19" t="str">
        <f>'Previsioni partecipanti'!J1</f>
        <v>Jack</v>
      </c>
      <c r="C6" s="19">
        <f>'Previsioni partecipanti'!K1</f>
        <v>11</v>
      </c>
    </row>
    <row r="7" ht="14.25" customHeight="1">
      <c r="A7" s="10"/>
      <c r="B7" s="19" t="str">
        <f>'Previsioni partecipanti'!L1</f>
        <v>Antonella</v>
      </c>
      <c r="C7" s="19">
        <f>'Previsioni partecipanti'!M1</f>
        <v>9</v>
      </c>
    </row>
    <row r="8" ht="14.25" customHeight="1">
      <c r="A8" s="10"/>
      <c r="B8" s="19" t="str">
        <f>'Previsioni partecipanti'!N1</f>
        <v>Vito</v>
      </c>
      <c r="C8" s="19">
        <f>'Previsioni partecipanti'!O1</f>
        <v>6</v>
      </c>
    </row>
    <row r="9" ht="14.25" customHeight="1">
      <c r="A9" s="10"/>
      <c r="B9" s="19" t="str">
        <f>'Previsioni partecipanti'!P1</f>
        <v>Samuele</v>
      </c>
      <c r="C9" s="19">
        <f>'Previsioni partecipanti'!Q1</f>
        <v>9</v>
      </c>
    </row>
    <row r="10" ht="14.25" customHeight="1">
      <c r="A10" s="10"/>
      <c r="B10" s="19" t="str">
        <f>'Previsioni partecipanti'!R1</f>
        <v>Valerio</v>
      </c>
      <c r="C10" s="19">
        <f>'Previsioni partecipanti'!S1</f>
        <v>10</v>
      </c>
    </row>
    <row r="11" ht="14.25" customHeight="1">
      <c r="A11" s="10"/>
      <c r="B11" s="19" t="str">
        <f>'Previsioni partecipanti'!T1</f>
        <v>Edoardo</v>
      </c>
      <c r="C11" s="19">
        <f>'Previsioni partecipanti'!U1</f>
        <v>11</v>
      </c>
    </row>
    <row r="12" ht="14.25" customHeight="1">
      <c r="A12" s="10"/>
      <c r="B12" s="19" t="str">
        <f>'Previsioni partecipanti'!V1</f>
        <v>Tania</v>
      </c>
      <c r="C12" s="19">
        <f>'Previsioni partecipanti'!W1</f>
        <v>11</v>
      </c>
    </row>
    <row r="13" ht="14.25" customHeight="1">
      <c r="A13" s="10"/>
      <c r="B13" s="19" t="str">
        <f>'Previsioni partecipanti'!X1</f>
        <v>Pier</v>
      </c>
      <c r="C13" s="19">
        <f>'Previsioni partecipanti'!Y1</f>
        <v>13</v>
      </c>
    </row>
    <row r="14" ht="14.25" customHeight="1">
      <c r="A14" s="10"/>
      <c r="B14" s="19" t="str">
        <f>'Previsioni partecipanti'!Z1</f>
        <v>Alessandra C.</v>
      </c>
      <c r="C14" s="19">
        <f>'Previsioni partecipanti'!AA1</f>
        <v>12</v>
      </c>
    </row>
    <row r="15" ht="14.25" customHeight="1">
      <c r="A15" s="10"/>
      <c r="B15" s="19" t="str">
        <f>'Previsioni partecipanti'!AB1</f>
        <v>Alessandra P.</v>
      </c>
      <c r="C15" s="19">
        <f>'Previsioni partecipanti'!AC1</f>
        <v>9</v>
      </c>
    </row>
    <row r="16" ht="14.25" customHeight="1">
      <c r="A16" s="10"/>
      <c r="B16" s="19" t="str">
        <f>'Previsioni partecipanti'!AD1</f>
        <v>Claudia A.</v>
      </c>
      <c r="C16" s="19">
        <f>'Previsioni partecipanti'!AE1</f>
        <v>10</v>
      </c>
    </row>
    <row r="17" ht="14.25" customHeight="1">
      <c r="A17" s="10"/>
      <c r="B17" s="19" t="str">
        <f>'Previsioni partecipanti'!AF1</f>
        <v>Marco G.</v>
      </c>
      <c r="C17" s="19">
        <f>'Previsioni partecipanti'!AG1</f>
        <v>11</v>
      </c>
    </row>
    <row r="18" ht="14.25" customHeight="1">
      <c r="A18" s="10"/>
      <c r="B18" s="19" t="str">
        <f>'Previsioni partecipanti'!AH1</f>
        <v>Alessio S.</v>
      </c>
      <c r="C18" s="19">
        <f>'Previsioni partecipanti'!AI1</f>
        <v>13</v>
      </c>
    </row>
    <row r="19" ht="14.25" customHeight="1">
      <c r="A19" s="10"/>
      <c r="B19" s="19" t="str">
        <f>'Previsioni partecipanti'!AJ1</f>
        <v>Alessio R.</v>
      </c>
      <c r="C19" s="19">
        <f>'Previsioni partecipanti'!AK1</f>
        <v>12</v>
      </c>
    </row>
    <row r="20" ht="14.25" customHeight="1">
      <c r="A20" s="10"/>
      <c r="B20" s="19" t="str">
        <f>'Previsioni partecipanti'!AL1</f>
        <v>Marco P.</v>
      </c>
      <c r="C20" s="19">
        <f>'Previsioni partecipanti'!AM1</f>
        <v>10</v>
      </c>
    </row>
    <row r="21" ht="14.25" customHeight="1">
      <c r="A21" s="10"/>
      <c r="B21" s="19" t="str">
        <f>'Previsioni partecipanti'!AN1</f>
        <v>Khawla</v>
      </c>
      <c r="C21" s="19">
        <f>'Previsioni partecipanti'!AO1</f>
        <v>14</v>
      </c>
    </row>
    <row r="22" ht="14.25" customHeight="1">
      <c r="A22" s="10"/>
      <c r="B22" s="19" t="str">
        <f>'Previsioni partecipanti'!AP1</f>
        <v>Federico R.</v>
      </c>
      <c r="C22" s="19">
        <f>'Previsioni partecipanti'!AQ1</f>
        <v>13</v>
      </c>
    </row>
    <row r="23" ht="14.25" customHeight="1">
      <c r="A23" s="10"/>
      <c r="B23" s="19" t="str">
        <f>'Previsioni partecipanti'!AR1</f>
        <v>Claudia S.</v>
      </c>
      <c r="C23" s="19">
        <f>'Previsioni partecipanti'!AS1</f>
        <v>14</v>
      </c>
    </row>
    <row r="24" ht="14.25" customHeight="1">
      <c r="A24" s="10"/>
      <c r="B24" s="19" t="str">
        <f>'Previsioni partecipanti'!AT1</f>
        <v>Leo Policella</v>
      </c>
      <c r="C24" s="19">
        <f>'Previsioni partecipanti'!AU1</f>
        <v>9</v>
      </c>
    </row>
    <row r="25" ht="14.25" customHeight="1">
      <c r="A25" s="10"/>
      <c r="B25" s="19" t="str">
        <f>'Previsioni partecipanti'!AV1</f>
        <v>Maila</v>
      </c>
      <c r="C25" s="19">
        <f>'Previsioni partecipanti'!AW1</f>
        <v>9</v>
      </c>
    </row>
    <row r="26" ht="14.25" customHeight="1">
      <c r="A26" s="10"/>
    </row>
    <row r="27" ht="14.25" customHeight="1">
      <c r="A27" s="10"/>
    </row>
    <row r="28" ht="14.25" customHeight="1">
      <c r="A28" s="10"/>
    </row>
    <row r="29" ht="14.25" customHeight="1">
      <c r="A29" s="10"/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4.25" customHeight="1">
      <c r="A230" s="10"/>
    </row>
    <row r="231" ht="14.25" customHeight="1">
      <c r="A231" s="10"/>
    </row>
    <row r="232" ht="14.25" customHeight="1">
      <c r="A232" s="10"/>
    </row>
    <row r="233" ht="14.25" customHeight="1">
      <c r="A233" s="10"/>
    </row>
    <row r="234" ht="14.25" customHeight="1">
      <c r="A234" s="10"/>
    </row>
    <row r="235" ht="14.25" customHeight="1">
      <c r="A235" s="10"/>
    </row>
    <row r="236" ht="14.25" customHeight="1">
      <c r="A236" s="10"/>
    </row>
    <row r="237" ht="14.25" customHeight="1">
      <c r="A237" s="10"/>
    </row>
    <row r="238" ht="14.25" customHeight="1">
      <c r="A238" s="10"/>
    </row>
    <row r="239" ht="14.25" customHeight="1">
      <c r="A239" s="10"/>
    </row>
    <row r="240" ht="14.25" customHeight="1">
      <c r="A240" s="10"/>
    </row>
    <row r="241" ht="14.25" customHeight="1">
      <c r="A241" s="10"/>
    </row>
    <row r="242" ht="14.25" customHeight="1">
      <c r="A242" s="10"/>
    </row>
    <row r="243" ht="14.25" customHeight="1">
      <c r="A243" s="10"/>
    </row>
    <row r="244" ht="14.25" customHeight="1">
      <c r="A244" s="10"/>
    </row>
    <row r="245" ht="14.25" customHeight="1">
      <c r="A245" s="10"/>
    </row>
    <row r="246" ht="14.25" customHeight="1">
      <c r="A246" s="10"/>
    </row>
    <row r="247" ht="14.25" customHeight="1">
      <c r="A247" s="10"/>
    </row>
    <row r="248" ht="14.25" customHeight="1">
      <c r="A248" s="10"/>
    </row>
    <row r="249" ht="14.25" customHeight="1">
      <c r="A249" s="10"/>
    </row>
    <row r="250" ht="14.25" customHeight="1">
      <c r="A250" s="10"/>
    </row>
    <row r="251" ht="14.25" customHeight="1">
      <c r="A251" s="10"/>
    </row>
    <row r="252" ht="14.25" customHeight="1">
      <c r="A252" s="10"/>
    </row>
    <row r="253" ht="14.25" customHeight="1">
      <c r="A253" s="10"/>
    </row>
    <row r="254" ht="14.25" customHeight="1">
      <c r="A254" s="10"/>
    </row>
    <row r="255" ht="14.25" customHeight="1">
      <c r="A255" s="10"/>
    </row>
    <row r="256" ht="14.25" customHeight="1">
      <c r="A256" s="10"/>
    </row>
    <row r="257" ht="14.25" customHeight="1">
      <c r="A257" s="10"/>
    </row>
    <row r="258" ht="14.25" customHeight="1">
      <c r="A258" s="10"/>
    </row>
    <row r="259" ht="14.25" customHeight="1">
      <c r="A259" s="10"/>
    </row>
    <row r="260" ht="14.25" customHeight="1">
      <c r="A260" s="10"/>
    </row>
    <row r="261" ht="14.25" customHeight="1">
      <c r="A261" s="10"/>
    </row>
    <row r="262" ht="14.25" customHeight="1">
      <c r="A262" s="10"/>
    </row>
    <row r="263" ht="14.25" customHeight="1">
      <c r="A263" s="10"/>
    </row>
    <row r="264" ht="14.25" customHeight="1">
      <c r="A264" s="10"/>
    </row>
    <row r="265" ht="14.25" customHeight="1">
      <c r="A265" s="10"/>
    </row>
    <row r="266" ht="14.25" customHeight="1">
      <c r="A266" s="10"/>
    </row>
    <row r="267" ht="14.25" customHeight="1">
      <c r="A267" s="10"/>
    </row>
    <row r="268" ht="14.25" customHeight="1">
      <c r="A268" s="10"/>
    </row>
    <row r="269" ht="14.25" customHeight="1">
      <c r="A269" s="10"/>
    </row>
    <row r="270" ht="14.25" customHeight="1">
      <c r="A270" s="10"/>
    </row>
    <row r="271" ht="14.25" customHeight="1">
      <c r="A271" s="10"/>
    </row>
    <row r="272" ht="14.25" customHeight="1">
      <c r="A272" s="10"/>
    </row>
    <row r="273" ht="14.25" customHeight="1">
      <c r="A273" s="10"/>
    </row>
    <row r="274" ht="14.25" customHeight="1">
      <c r="A274" s="10"/>
    </row>
    <row r="275" ht="14.25" customHeight="1">
      <c r="A275" s="10"/>
    </row>
    <row r="276" ht="14.25" customHeight="1">
      <c r="A276" s="10"/>
    </row>
    <row r="277" ht="14.25" customHeight="1">
      <c r="A277" s="10"/>
    </row>
    <row r="278" ht="14.25" customHeight="1">
      <c r="A278" s="10"/>
    </row>
    <row r="279" ht="14.25" customHeight="1">
      <c r="A279" s="10"/>
    </row>
    <row r="280" ht="14.25" customHeight="1">
      <c r="A280" s="10"/>
    </row>
    <row r="281" ht="14.25" customHeight="1">
      <c r="A281" s="10"/>
    </row>
    <row r="282" ht="14.25" customHeight="1">
      <c r="A282" s="10"/>
    </row>
    <row r="283" ht="14.25" customHeight="1">
      <c r="A283" s="10"/>
    </row>
    <row r="284" ht="14.25" customHeight="1">
      <c r="A284" s="10"/>
    </row>
    <row r="285" ht="14.25" customHeight="1">
      <c r="A285" s="10"/>
    </row>
    <row r="286" ht="14.25" customHeight="1">
      <c r="A286" s="10"/>
    </row>
    <row r="287" ht="14.25" customHeight="1">
      <c r="A287" s="10"/>
    </row>
    <row r="288" ht="14.25" customHeight="1">
      <c r="A288" s="10"/>
    </row>
    <row r="289" ht="14.25" customHeight="1">
      <c r="A289" s="10"/>
    </row>
    <row r="290" ht="14.25" customHeight="1">
      <c r="A290" s="10"/>
    </row>
    <row r="291" ht="14.25" customHeight="1">
      <c r="A291" s="10"/>
    </row>
    <row r="292" ht="14.25" customHeight="1">
      <c r="A292" s="10"/>
    </row>
    <row r="293" ht="14.25" customHeight="1">
      <c r="A293" s="10"/>
    </row>
    <row r="294" ht="14.25" customHeight="1">
      <c r="A294" s="10"/>
    </row>
    <row r="295" ht="14.25" customHeight="1">
      <c r="A295" s="10"/>
    </row>
    <row r="296" ht="14.25" customHeight="1">
      <c r="A296" s="10"/>
    </row>
    <row r="297" ht="14.25" customHeight="1">
      <c r="A297" s="10"/>
    </row>
    <row r="298" ht="14.25" customHeight="1">
      <c r="A298" s="10"/>
    </row>
    <row r="299" ht="14.25" customHeight="1">
      <c r="A299" s="10"/>
    </row>
    <row r="300" ht="14.25" customHeight="1">
      <c r="A300" s="10"/>
    </row>
    <row r="301" ht="14.25" customHeight="1">
      <c r="A301" s="10"/>
    </row>
    <row r="302" ht="14.25" customHeight="1">
      <c r="A302" s="10"/>
    </row>
    <row r="303" ht="14.25" customHeight="1">
      <c r="A303" s="10"/>
    </row>
    <row r="304" ht="14.25" customHeight="1">
      <c r="A304" s="10"/>
    </row>
    <row r="305" ht="14.25" customHeight="1">
      <c r="A305" s="10"/>
    </row>
    <row r="306" ht="14.25" customHeight="1">
      <c r="A306" s="10"/>
    </row>
    <row r="307" ht="14.25" customHeight="1">
      <c r="A307" s="10"/>
    </row>
    <row r="308" ht="14.25" customHeight="1">
      <c r="A308" s="10"/>
    </row>
    <row r="309" ht="14.25" customHeight="1">
      <c r="A309" s="10"/>
    </row>
    <row r="310" ht="14.25" customHeight="1">
      <c r="A310" s="10"/>
    </row>
    <row r="311" ht="14.25" customHeight="1">
      <c r="A311" s="10"/>
    </row>
    <row r="312" ht="14.25" customHeight="1">
      <c r="A312" s="10"/>
    </row>
    <row r="313" ht="14.25" customHeight="1">
      <c r="A313" s="10"/>
    </row>
    <row r="314" ht="14.25" customHeight="1">
      <c r="A314" s="10"/>
    </row>
    <row r="315" ht="14.25" customHeight="1">
      <c r="A315" s="10"/>
    </row>
    <row r="316" ht="14.25" customHeight="1">
      <c r="A316" s="10"/>
    </row>
    <row r="317" ht="14.25" customHeight="1">
      <c r="A317" s="10"/>
    </row>
    <row r="318" ht="14.25" customHeight="1">
      <c r="A318" s="10"/>
    </row>
    <row r="319" ht="14.25" customHeight="1">
      <c r="A319" s="10"/>
    </row>
    <row r="320" ht="14.25" customHeight="1">
      <c r="A320" s="10"/>
    </row>
    <row r="321" ht="14.25" customHeight="1">
      <c r="A321" s="10"/>
    </row>
    <row r="322" ht="14.25" customHeight="1">
      <c r="A322" s="10"/>
    </row>
    <row r="323" ht="14.25" customHeight="1">
      <c r="A323" s="10"/>
    </row>
    <row r="324" ht="14.25" customHeight="1">
      <c r="A324" s="10"/>
    </row>
    <row r="325" ht="14.25" customHeight="1">
      <c r="A325" s="10"/>
    </row>
    <row r="326" ht="14.25" customHeight="1">
      <c r="A326" s="10"/>
    </row>
    <row r="327" ht="14.25" customHeight="1">
      <c r="A327" s="10"/>
    </row>
    <row r="328" ht="14.25" customHeight="1">
      <c r="A328" s="10"/>
    </row>
    <row r="329" ht="14.25" customHeight="1">
      <c r="A329" s="10"/>
    </row>
    <row r="330" ht="14.25" customHeight="1">
      <c r="A330" s="10"/>
    </row>
    <row r="331" ht="14.25" customHeight="1">
      <c r="A331" s="10"/>
    </row>
    <row r="332" ht="14.25" customHeight="1">
      <c r="A332" s="10"/>
    </row>
    <row r="333" ht="14.25" customHeight="1">
      <c r="A333" s="10"/>
    </row>
    <row r="334" ht="14.25" customHeight="1">
      <c r="A334" s="10"/>
    </row>
    <row r="335" ht="14.25" customHeight="1">
      <c r="A335" s="10"/>
    </row>
    <row r="336" ht="14.25" customHeight="1">
      <c r="A336" s="10"/>
    </row>
    <row r="337" ht="14.25" customHeight="1">
      <c r="A337" s="10"/>
    </row>
    <row r="338" ht="14.25" customHeight="1">
      <c r="A338" s="10"/>
    </row>
    <row r="339" ht="14.25" customHeight="1">
      <c r="A339" s="10"/>
    </row>
    <row r="340" ht="14.25" customHeight="1">
      <c r="A340" s="10"/>
    </row>
    <row r="341" ht="14.25" customHeight="1">
      <c r="A341" s="10"/>
    </row>
    <row r="342" ht="14.25" customHeight="1">
      <c r="A342" s="10"/>
    </row>
    <row r="343" ht="14.25" customHeight="1">
      <c r="A343" s="10"/>
    </row>
    <row r="344" ht="14.25" customHeight="1">
      <c r="A344" s="10"/>
    </row>
    <row r="345" ht="14.25" customHeight="1">
      <c r="A345" s="10"/>
    </row>
    <row r="346" ht="14.25" customHeight="1">
      <c r="A346" s="10"/>
    </row>
    <row r="347" ht="14.25" customHeight="1">
      <c r="A347" s="10"/>
    </row>
    <row r="348" ht="14.25" customHeight="1">
      <c r="A348" s="10"/>
    </row>
    <row r="349" ht="14.25" customHeight="1">
      <c r="A349" s="10"/>
    </row>
    <row r="350" ht="14.25" customHeight="1">
      <c r="A350" s="10"/>
    </row>
    <row r="351" ht="14.25" customHeight="1">
      <c r="A351" s="10"/>
    </row>
    <row r="352" ht="14.25" customHeight="1">
      <c r="A352" s="10"/>
    </row>
    <row r="353" ht="14.25" customHeight="1">
      <c r="A353" s="10"/>
    </row>
    <row r="354" ht="14.25" customHeight="1">
      <c r="A354" s="10"/>
    </row>
    <row r="355" ht="14.25" customHeight="1">
      <c r="A355" s="10"/>
    </row>
    <row r="356" ht="14.25" customHeight="1">
      <c r="A356" s="10"/>
    </row>
    <row r="357" ht="14.25" customHeight="1">
      <c r="A357" s="10"/>
    </row>
    <row r="358" ht="14.25" customHeight="1">
      <c r="A358" s="10"/>
    </row>
    <row r="359" ht="14.25" customHeight="1">
      <c r="A359" s="10"/>
    </row>
    <row r="360" ht="14.25" customHeight="1">
      <c r="A360" s="10"/>
    </row>
    <row r="361" ht="14.25" customHeight="1">
      <c r="A361" s="10"/>
    </row>
    <row r="362" ht="14.25" customHeight="1">
      <c r="A362" s="10"/>
    </row>
    <row r="363" ht="14.25" customHeight="1">
      <c r="A363" s="10"/>
    </row>
    <row r="364" ht="14.25" customHeight="1">
      <c r="A364" s="10"/>
    </row>
    <row r="365" ht="14.25" customHeight="1">
      <c r="A365" s="10"/>
    </row>
    <row r="366" ht="14.25" customHeight="1">
      <c r="A366" s="10"/>
    </row>
    <row r="367" ht="14.25" customHeight="1">
      <c r="A367" s="10"/>
    </row>
    <row r="368" ht="14.25" customHeight="1">
      <c r="A368" s="10"/>
    </row>
    <row r="369" ht="14.25" customHeight="1">
      <c r="A369" s="10"/>
    </row>
    <row r="370" ht="14.25" customHeight="1">
      <c r="A370" s="10"/>
    </row>
    <row r="371" ht="14.25" customHeight="1">
      <c r="A371" s="10"/>
    </row>
    <row r="372" ht="14.25" customHeight="1">
      <c r="A372" s="10"/>
    </row>
    <row r="373" ht="14.25" customHeight="1">
      <c r="A373" s="10"/>
    </row>
    <row r="374" ht="14.25" customHeight="1">
      <c r="A374" s="10"/>
    </row>
    <row r="375" ht="14.25" customHeight="1">
      <c r="A375" s="10"/>
    </row>
    <row r="376" ht="14.25" customHeight="1">
      <c r="A376" s="10"/>
    </row>
    <row r="377" ht="14.25" customHeight="1">
      <c r="A377" s="10"/>
    </row>
    <row r="378" ht="14.25" customHeight="1">
      <c r="A378" s="10"/>
    </row>
    <row r="379" ht="14.25" customHeight="1">
      <c r="A379" s="10"/>
    </row>
    <row r="380" ht="14.25" customHeight="1">
      <c r="A380" s="10"/>
    </row>
    <row r="381" ht="14.25" customHeight="1">
      <c r="A381" s="10"/>
    </row>
    <row r="382" ht="14.25" customHeight="1">
      <c r="A382" s="10"/>
    </row>
    <row r="383" ht="14.25" customHeight="1">
      <c r="A383" s="10"/>
    </row>
    <row r="384" ht="14.25" customHeight="1">
      <c r="A384" s="10"/>
    </row>
    <row r="385" ht="14.25" customHeight="1">
      <c r="A385" s="10"/>
    </row>
    <row r="386" ht="14.25" customHeight="1">
      <c r="A386" s="10"/>
    </row>
    <row r="387" ht="14.25" customHeight="1">
      <c r="A387" s="10"/>
    </row>
    <row r="388" ht="14.25" customHeight="1">
      <c r="A388" s="10"/>
    </row>
    <row r="389" ht="14.25" customHeight="1">
      <c r="A389" s="10"/>
    </row>
    <row r="390" ht="14.25" customHeight="1">
      <c r="A390" s="10"/>
    </row>
    <row r="391" ht="14.25" customHeight="1">
      <c r="A391" s="10"/>
    </row>
    <row r="392" ht="14.25" customHeight="1">
      <c r="A392" s="10"/>
    </row>
    <row r="393" ht="14.25" customHeight="1">
      <c r="A393" s="10"/>
    </row>
    <row r="394" ht="14.25" customHeight="1">
      <c r="A394" s="10"/>
    </row>
    <row r="395" ht="14.25" customHeight="1">
      <c r="A395" s="10"/>
    </row>
    <row r="396" ht="14.25" customHeight="1">
      <c r="A396" s="10"/>
    </row>
    <row r="397" ht="14.25" customHeight="1">
      <c r="A397" s="10"/>
    </row>
    <row r="398" ht="14.25" customHeight="1">
      <c r="A398" s="10"/>
    </row>
    <row r="399" ht="14.25" customHeight="1">
      <c r="A399" s="10"/>
    </row>
    <row r="400" ht="14.25" customHeight="1">
      <c r="A400" s="10"/>
    </row>
    <row r="401" ht="14.25" customHeight="1">
      <c r="A401" s="10"/>
    </row>
    <row r="402" ht="14.25" customHeight="1">
      <c r="A402" s="10"/>
    </row>
    <row r="403" ht="14.25" customHeight="1">
      <c r="A403" s="10"/>
    </row>
    <row r="404" ht="14.25" customHeight="1">
      <c r="A404" s="10"/>
    </row>
    <row r="405" ht="14.25" customHeight="1">
      <c r="A405" s="10"/>
    </row>
    <row r="406" ht="14.25" customHeight="1">
      <c r="A406" s="10"/>
    </row>
    <row r="407" ht="14.25" customHeight="1">
      <c r="A407" s="10"/>
    </row>
    <row r="408" ht="14.25" customHeight="1">
      <c r="A408" s="10"/>
    </row>
    <row r="409" ht="14.25" customHeight="1">
      <c r="A409" s="10"/>
    </row>
    <row r="410" ht="14.25" customHeight="1">
      <c r="A410" s="10"/>
    </row>
    <row r="411" ht="14.25" customHeight="1">
      <c r="A411" s="10"/>
    </row>
    <row r="412" ht="14.25" customHeight="1">
      <c r="A412" s="10"/>
    </row>
    <row r="413" ht="14.25" customHeight="1">
      <c r="A413" s="10"/>
    </row>
    <row r="414" ht="14.25" customHeight="1">
      <c r="A414" s="10"/>
    </row>
    <row r="415" ht="14.25" customHeight="1">
      <c r="A415" s="10"/>
    </row>
    <row r="416" ht="14.25" customHeight="1">
      <c r="A416" s="10"/>
    </row>
    <row r="417" ht="14.25" customHeight="1">
      <c r="A417" s="10"/>
    </row>
    <row r="418" ht="14.25" customHeight="1">
      <c r="A418" s="10"/>
    </row>
    <row r="419" ht="14.25" customHeight="1">
      <c r="A419" s="10"/>
    </row>
    <row r="420" ht="14.25" customHeight="1">
      <c r="A420" s="10"/>
    </row>
    <row r="421" ht="14.25" customHeight="1">
      <c r="A421" s="10"/>
    </row>
    <row r="422" ht="14.25" customHeight="1">
      <c r="A422" s="10"/>
    </row>
    <row r="423" ht="14.25" customHeight="1">
      <c r="A423" s="10"/>
    </row>
    <row r="424" ht="14.25" customHeight="1">
      <c r="A424" s="10"/>
    </row>
    <row r="425" ht="14.25" customHeight="1">
      <c r="A425" s="10"/>
    </row>
    <row r="426" ht="14.25" customHeight="1">
      <c r="A426" s="10"/>
    </row>
    <row r="427" ht="14.25" customHeight="1">
      <c r="A427" s="10"/>
    </row>
    <row r="428" ht="14.25" customHeight="1">
      <c r="A428" s="10"/>
    </row>
    <row r="429" ht="14.25" customHeight="1">
      <c r="A429" s="10"/>
    </row>
    <row r="430" ht="14.25" customHeight="1">
      <c r="A430" s="10"/>
    </row>
    <row r="431" ht="14.25" customHeight="1">
      <c r="A431" s="10"/>
    </row>
    <row r="432" ht="14.25" customHeight="1">
      <c r="A432" s="10"/>
    </row>
    <row r="433" ht="14.25" customHeight="1">
      <c r="A433" s="10"/>
    </row>
    <row r="434" ht="14.25" customHeight="1">
      <c r="A434" s="10"/>
    </row>
    <row r="435" ht="14.25" customHeight="1">
      <c r="A435" s="10"/>
    </row>
    <row r="436" ht="14.25" customHeight="1">
      <c r="A436" s="10"/>
    </row>
    <row r="437" ht="14.25" customHeight="1">
      <c r="A437" s="10"/>
    </row>
    <row r="438" ht="14.25" customHeight="1">
      <c r="A438" s="10"/>
    </row>
    <row r="439" ht="14.25" customHeight="1">
      <c r="A439" s="10"/>
    </row>
    <row r="440" ht="14.25" customHeight="1">
      <c r="A440" s="10"/>
    </row>
    <row r="441" ht="14.25" customHeight="1">
      <c r="A441" s="10"/>
    </row>
    <row r="442" ht="14.25" customHeight="1">
      <c r="A442" s="10"/>
    </row>
    <row r="443" ht="14.25" customHeight="1">
      <c r="A443" s="10"/>
    </row>
    <row r="444" ht="14.25" customHeight="1">
      <c r="A444" s="10"/>
    </row>
    <row r="445" ht="14.25" customHeight="1">
      <c r="A445" s="10"/>
    </row>
    <row r="446" ht="14.25" customHeight="1">
      <c r="A446" s="10"/>
    </row>
    <row r="447" ht="14.25" customHeight="1">
      <c r="A447" s="10"/>
    </row>
    <row r="448" ht="14.25" customHeight="1">
      <c r="A448" s="10"/>
    </row>
    <row r="449" ht="14.25" customHeight="1">
      <c r="A449" s="10"/>
    </row>
    <row r="450" ht="14.25" customHeight="1">
      <c r="A450" s="10"/>
    </row>
    <row r="451" ht="14.25" customHeight="1">
      <c r="A451" s="10"/>
    </row>
    <row r="452" ht="14.25" customHeight="1">
      <c r="A452" s="10"/>
    </row>
    <row r="453" ht="14.25" customHeight="1">
      <c r="A453" s="10"/>
    </row>
    <row r="454" ht="14.25" customHeight="1">
      <c r="A454" s="10"/>
    </row>
    <row r="455" ht="14.25" customHeight="1">
      <c r="A455" s="10"/>
    </row>
    <row r="456" ht="14.25" customHeight="1">
      <c r="A456" s="10"/>
    </row>
    <row r="457" ht="14.25" customHeight="1">
      <c r="A457" s="10"/>
    </row>
    <row r="458" ht="14.25" customHeight="1">
      <c r="A458" s="10"/>
    </row>
    <row r="459" ht="14.25" customHeight="1">
      <c r="A459" s="10"/>
    </row>
    <row r="460" ht="14.25" customHeight="1">
      <c r="A460" s="10"/>
    </row>
    <row r="461" ht="14.25" customHeight="1">
      <c r="A461" s="10"/>
    </row>
    <row r="462" ht="14.25" customHeight="1">
      <c r="A462" s="10"/>
    </row>
    <row r="463" ht="14.25" customHeight="1">
      <c r="A463" s="10"/>
    </row>
    <row r="464" ht="14.25" customHeight="1">
      <c r="A464" s="10"/>
    </row>
    <row r="465" ht="14.25" customHeight="1">
      <c r="A465" s="10"/>
    </row>
    <row r="466" ht="14.25" customHeight="1">
      <c r="A466" s="10"/>
    </row>
    <row r="467" ht="14.25" customHeight="1">
      <c r="A467" s="10"/>
    </row>
    <row r="468" ht="14.25" customHeight="1">
      <c r="A468" s="10"/>
    </row>
    <row r="469" ht="14.25" customHeight="1">
      <c r="A469" s="10"/>
    </row>
    <row r="470" ht="14.25" customHeight="1">
      <c r="A470" s="10"/>
    </row>
    <row r="471" ht="14.25" customHeight="1">
      <c r="A471" s="10"/>
    </row>
    <row r="472" ht="14.25" customHeight="1">
      <c r="A472" s="10"/>
    </row>
    <row r="473" ht="14.25" customHeight="1">
      <c r="A473" s="10"/>
    </row>
    <row r="474" ht="14.25" customHeight="1">
      <c r="A474" s="10"/>
    </row>
    <row r="475" ht="14.25" customHeight="1">
      <c r="A475" s="10"/>
    </row>
    <row r="476" ht="14.25" customHeight="1">
      <c r="A476" s="10"/>
    </row>
    <row r="477" ht="14.25" customHeight="1">
      <c r="A477" s="10"/>
    </row>
    <row r="478" ht="14.25" customHeight="1">
      <c r="A478" s="10"/>
    </row>
    <row r="479" ht="14.25" customHeight="1">
      <c r="A479" s="10"/>
    </row>
    <row r="480" ht="14.25" customHeight="1">
      <c r="A480" s="10"/>
    </row>
    <row r="481" ht="14.25" customHeight="1">
      <c r="A481" s="10"/>
    </row>
    <row r="482" ht="14.25" customHeight="1">
      <c r="A482" s="10"/>
    </row>
    <row r="483" ht="14.25" customHeight="1">
      <c r="A483" s="10"/>
    </row>
    <row r="484" ht="14.25" customHeight="1">
      <c r="A484" s="10"/>
    </row>
    <row r="485" ht="14.25" customHeight="1">
      <c r="A485" s="10"/>
    </row>
    <row r="486" ht="14.25" customHeight="1">
      <c r="A486" s="10"/>
    </row>
    <row r="487" ht="14.25" customHeight="1">
      <c r="A487" s="10"/>
    </row>
    <row r="488" ht="14.25" customHeight="1">
      <c r="A488" s="10"/>
    </row>
    <row r="489" ht="14.25" customHeight="1">
      <c r="A489" s="10"/>
    </row>
    <row r="490" ht="14.25" customHeight="1">
      <c r="A490" s="10"/>
    </row>
    <row r="491" ht="14.25" customHeight="1">
      <c r="A491" s="10"/>
    </row>
    <row r="492" ht="14.25" customHeight="1">
      <c r="A492" s="10"/>
    </row>
    <row r="493" ht="14.25" customHeight="1">
      <c r="A493" s="10"/>
    </row>
    <row r="494" ht="14.25" customHeight="1">
      <c r="A494" s="10"/>
    </row>
    <row r="495" ht="14.25" customHeight="1">
      <c r="A495" s="10"/>
    </row>
    <row r="496" ht="14.25" customHeight="1">
      <c r="A496" s="10"/>
    </row>
    <row r="497" ht="14.25" customHeight="1">
      <c r="A497" s="10"/>
    </row>
    <row r="498" ht="14.25" customHeight="1">
      <c r="A498" s="10"/>
    </row>
    <row r="499" ht="14.25" customHeight="1">
      <c r="A499" s="10"/>
    </row>
    <row r="500" ht="14.25" customHeight="1">
      <c r="A500" s="10"/>
    </row>
    <row r="501" ht="14.25" customHeight="1">
      <c r="A501" s="10"/>
    </row>
    <row r="502" ht="14.25" customHeight="1">
      <c r="A502" s="10"/>
    </row>
    <row r="503" ht="14.25" customHeight="1">
      <c r="A503" s="10"/>
    </row>
    <row r="504" ht="14.25" customHeight="1">
      <c r="A504" s="10"/>
    </row>
    <row r="505" ht="14.25" customHeight="1">
      <c r="A505" s="10"/>
    </row>
    <row r="506" ht="14.25" customHeight="1">
      <c r="A506" s="10"/>
    </row>
    <row r="507" ht="14.25" customHeight="1">
      <c r="A507" s="10"/>
    </row>
    <row r="508" ht="14.25" customHeight="1">
      <c r="A508" s="10"/>
    </row>
    <row r="509" ht="14.25" customHeight="1">
      <c r="A509" s="10"/>
    </row>
    <row r="510" ht="14.25" customHeight="1">
      <c r="A510" s="10"/>
    </row>
    <row r="511" ht="14.25" customHeight="1">
      <c r="A511" s="10"/>
    </row>
    <row r="512" ht="14.25" customHeight="1">
      <c r="A512" s="10"/>
    </row>
    <row r="513" ht="14.25" customHeight="1">
      <c r="A513" s="10"/>
    </row>
    <row r="514" ht="14.25" customHeight="1">
      <c r="A514" s="10"/>
    </row>
    <row r="515" ht="14.25" customHeight="1">
      <c r="A515" s="10"/>
    </row>
    <row r="516" ht="14.25" customHeight="1">
      <c r="A516" s="10"/>
    </row>
    <row r="517" ht="14.25" customHeight="1">
      <c r="A517" s="10"/>
    </row>
    <row r="518" ht="14.25" customHeight="1">
      <c r="A518" s="10"/>
    </row>
    <row r="519" ht="14.25" customHeight="1">
      <c r="A519" s="10"/>
    </row>
    <row r="520" ht="14.25" customHeight="1">
      <c r="A520" s="10"/>
    </row>
    <row r="521" ht="14.25" customHeight="1">
      <c r="A521" s="10"/>
    </row>
    <row r="522" ht="14.25" customHeight="1">
      <c r="A522" s="10"/>
    </row>
    <row r="523" ht="14.25" customHeight="1">
      <c r="A523" s="10"/>
    </row>
    <row r="524" ht="14.25" customHeight="1">
      <c r="A524" s="10"/>
    </row>
    <row r="525" ht="14.25" customHeight="1">
      <c r="A525" s="10"/>
    </row>
    <row r="526" ht="14.25" customHeight="1">
      <c r="A526" s="10"/>
    </row>
    <row r="527" ht="14.25" customHeight="1">
      <c r="A527" s="10"/>
    </row>
    <row r="528" ht="14.25" customHeight="1">
      <c r="A528" s="10"/>
    </row>
    <row r="529" ht="14.25" customHeight="1">
      <c r="A529" s="10"/>
    </row>
    <row r="530" ht="14.25" customHeight="1">
      <c r="A530" s="10"/>
    </row>
    <row r="531" ht="14.25" customHeight="1">
      <c r="A531" s="10"/>
    </row>
    <row r="532" ht="14.25" customHeight="1">
      <c r="A532" s="10"/>
    </row>
    <row r="533" ht="14.25" customHeight="1">
      <c r="A533" s="10"/>
    </row>
    <row r="534" ht="14.25" customHeight="1">
      <c r="A534" s="10"/>
    </row>
    <row r="535" ht="14.25" customHeight="1">
      <c r="A535" s="10"/>
    </row>
    <row r="536" ht="14.25" customHeight="1">
      <c r="A536" s="10"/>
    </row>
    <row r="537" ht="14.25" customHeight="1">
      <c r="A537" s="10"/>
    </row>
    <row r="538" ht="14.25" customHeight="1">
      <c r="A538" s="10"/>
    </row>
    <row r="539" ht="14.25" customHeight="1">
      <c r="A539" s="10"/>
    </row>
    <row r="540" ht="14.25" customHeight="1">
      <c r="A540" s="10"/>
    </row>
    <row r="541" ht="14.25" customHeight="1">
      <c r="A541" s="10"/>
    </row>
    <row r="542" ht="14.25" customHeight="1">
      <c r="A542" s="10"/>
    </row>
    <row r="543" ht="14.25" customHeight="1">
      <c r="A543" s="10"/>
    </row>
    <row r="544" ht="14.25" customHeight="1">
      <c r="A544" s="10"/>
    </row>
    <row r="545" ht="14.25" customHeight="1">
      <c r="A545" s="10"/>
    </row>
    <row r="546" ht="14.25" customHeight="1">
      <c r="A546" s="10"/>
    </row>
    <row r="547" ht="14.25" customHeight="1">
      <c r="A547" s="10"/>
    </row>
    <row r="548" ht="14.25" customHeight="1">
      <c r="A548" s="10"/>
    </row>
    <row r="549" ht="14.25" customHeight="1">
      <c r="A549" s="10"/>
    </row>
    <row r="550" ht="14.25" customHeight="1">
      <c r="A550" s="10"/>
    </row>
    <row r="551" ht="14.25" customHeight="1">
      <c r="A551" s="10"/>
    </row>
    <row r="552" ht="14.25" customHeight="1">
      <c r="A552" s="10"/>
    </row>
    <row r="553" ht="14.25" customHeight="1">
      <c r="A553" s="10"/>
    </row>
    <row r="554" ht="14.25" customHeight="1">
      <c r="A554" s="10"/>
    </row>
    <row r="555" ht="14.25" customHeight="1">
      <c r="A555" s="10"/>
    </row>
    <row r="556" ht="14.25" customHeight="1">
      <c r="A556" s="10"/>
    </row>
    <row r="557" ht="14.25" customHeight="1">
      <c r="A557" s="10"/>
    </row>
    <row r="558" ht="14.25" customHeight="1">
      <c r="A558" s="10"/>
    </row>
    <row r="559" ht="14.25" customHeight="1">
      <c r="A559" s="10"/>
    </row>
    <row r="560" ht="14.25" customHeight="1">
      <c r="A560" s="10"/>
    </row>
    <row r="561" ht="14.25" customHeight="1">
      <c r="A561" s="10"/>
    </row>
    <row r="562" ht="14.25" customHeight="1">
      <c r="A562" s="10"/>
    </row>
    <row r="563" ht="14.25" customHeight="1">
      <c r="A563" s="10"/>
    </row>
    <row r="564" ht="14.25" customHeight="1">
      <c r="A564" s="10"/>
    </row>
    <row r="565" ht="14.25" customHeight="1">
      <c r="A565" s="10"/>
    </row>
    <row r="566" ht="14.25" customHeight="1">
      <c r="A566" s="10"/>
    </row>
    <row r="567" ht="14.25" customHeight="1">
      <c r="A567" s="10"/>
    </row>
    <row r="568" ht="14.25" customHeight="1">
      <c r="A568" s="10"/>
    </row>
    <row r="569" ht="14.25" customHeight="1">
      <c r="A569" s="10"/>
    </row>
    <row r="570" ht="14.25" customHeight="1">
      <c r="A570" s="10"/>
    </row>
    <row r="571" ht="14.25" customHeight="1">
      <c r="A571" s="10"/>
    </row>
    <row r="572" ht="14.25" customHeight="1">
      <c r="A572" s="10"/>
    </row>
    <row r="573" ht="14.25" customHeight="1">
      <c r="A573" s="10"/>
    </row>
    <row r="574" ht="14.25" customHeight="1">
      <c r="A574" s="10"/>
    </row>
    <row r="575" ht="14.25" customHeight="1">
      <c r="A575" s="10"/>
    </row>
    <row r="576" ht="14.25" customHeight="1">
      <c r="A576" s="10"/>
    </row>
    <row r="577" ht="14.25" customHeight="1">
      <c r="A577" s="10"/>
    </row>
    <row r="578" ht="14.25" customHeight="1">
      <c r="A578" s="10"/>
    </row>
    <row r="579" ht="14.25" customHeight="1">
      <c r="A579" s="10"/>
    </row>
    <row r="580" ht="14.25" customHeight="1">
      <c r="A580" s="10"/>
    </row>
    <row r="581" ht="14.25" customHeight="1">
      <c r="A581" s="10"/>
    </row>
    <row r="582" ht="14.25" customHeight="1">
      <c r="A582" s="10"/>
    </row>
    <row r="583" ht="14.25" customHeight="1">
      <c r="A583" s="10"/>
    </row>
    <row r="584" ht="14.25" customHeight="1">
      <c r="A584" s="10"/>
    </row>
    <row r="585" ht="14.25" customHeight="1">
      <c r="A585" s="10"/>
    </row>
    <row r="586" ht="14.25" customHeight="1">
      <c r="A586" s="10"/>
    </row>
    <row r="587" ht="14.25" customHeight="1">
      <c r="A587" s="10"/>
    </row>
    <row r="588" ht="14.25" customHeight="1">
      <c r="A588" s="10"/>
    </row>
    <row r="589" ht="14.25" customHeight="1">
      <c r="A589" s="10"/>
    </row>
    <row r="590" ht="14.25" customHeight="1">
      <c r="A590" s="10"/>
    </row>
    <row r="591" ht="14.25" customHeight="1">
      <c r="A591" s="10"/>
    </row>
    <row r="592" ht="14.25" customHeight="1">
      <c r="A592" s="10"/>
    </row>
    <row r="593" ht="14.25" customHeight="1">
      <c r="A593" s="10"/>
    </row>
    <row r="594" ht="14.25" customHeight="1">
      <c r="A594" s="10"/>
    </row>
    <row r="595" ht="14.25" customHeight="1">
      <c r="A595" s="10"/>
    </row>
    <row r="596" ht="14.25" customHeight="1">
      <c r="A596" s="10"/>
    </row>
    <row r="597" ht="14.25" customHeight="1">
      <c r="A597" s="10"/>
    </row>
    <row r="598" ht="14.25" customHeight="1">
      <c r="A598" s="10"/>
    </row>
    <row r="599" ht="14.25" customHeight="1">
      <c r="A599" s="10"/>
    </row>
    <row r="600" ht="14.25" customHeight="1">
      <c r="A600" s="10"/>
    </row>
    <row r="601" ht="14.25" customHeight="1">
      <c r="A601" s="10"/>
    </row>
    <row r="602" ht="14.25" customHeight="1">
      <c r="A602" s="10"/>
    </row>
    <row r="603" ht="14.25" customHeight="1">
      <c r="A603" s="10"/>
    </row>
    <row r="604" ht="14.25" customHeight="1">
      <c r="A604" s="10"/>
    </row>
    <row r="605" ht="14.25" customHeight="1">
      <c r="A605" s="10"/>
    </row>
    <row r="606" ht="14.25" customHeight="1">
      <c r="A606" s="10"/>
    </row>
    <row r="607" ht="14.25" customHeight="1">
      <c r="A607" s="10"/>
    </row>
    <row r="608" ht="14.25" customHeight="1">
      <c r="A608" s="10"/>
    </row>
    <row r="609" ht="14.25" customHeight="1">
      <c r="A609" s="10"/>
    </row>
    <row r="610" ht="14.25" customHeight="1">
      <c r="A610" s="10"/>
    </row>
    <row r="611" ht="14.25" customHeight="1">
      <c r="A611" s="10"/>
    </row>
    <row r="612" ht="14.25" customHeight="1">
      <c r="A612" s="10"/>
    </row>
    <row r="613" ht="14.25" customHeight="1">
      <c r="A613" s="10"/>
    </row>
    <row r="614" ht="14.25" customHeight="1">
      <c r="A614" s="10"/>
    </row>
    <row r="615" ht="14.25" customHeight="1">
      <c r="A615" s="10"/>
    </row>
    <row r="616" ht="14.25" customHeight="1">
      <c r="A616" s="10"/>
    </row>
    <row r="617" ht="14.25" customHeight="1">
      <c r="A617" s="10"/>
    </row>
    <row r="618" ht="14.25" customHeight="1">
      <c r="A618" s="10"/>
    </row>
    <row r="619" ht="14.25" customHeight="1">
      <c r="A619" s="10"/>
    </row>
    <row r="620" ht="14.25" customHeight="1">
      <c r="A620" s="10"/>
    </row>
    <row r="621" ht="14.25" customHeight="1">
      <c r="A621" s="10"/>
    </row>
    <row r="622" ht="14.25" customHeight="1">
      <c r="A622" s="10"/>
    </row>
    <row r="623" ht="14.25" customHeight="1">
      <c r="A623" s="10"/>
    </row>
    <row r="624" ht="14.25" customHeight="1">
      <c r="A624" s="10"/>
    </row>
    <row r="625" ht="14.25" customHeight="1">
      <c r="A625" s="10"/>
    </row>
    <row r="626" ht="14.25" customHeight="1">
      <c r="A626" s="10"/>
    </row>
    <row r="627" ht="14.25" customHeight="1">
      <c r="A627" s="10"/>
    </row>
    <row r="628" ht="14.25" customHeight="1">
      <c r="A628" s="10"/>
    </row>
    <row r="629" ht="14.25" customHeight="1">
      <c r="A629" s="10"/>
    </row>
    <row r="630" ht="14.25" customHeight="1">
      <c r="A630" s="10"/>
    </row>
    <row r="631" ht="14.25" customHeight="1">
      <c r="A631" s="10"/>
    </row>
    <row r="632" ht="14.25" customHeight="1">
      <c r="A632" s="10"/>
    </row>
    <row r="633" ht="14.25" customHeight="1">
      <c r="A633" s="10"/>
    </row>
    <row r="634" ht="14.25" customHeight="1">
      <c r="A634" s="10"/>
    </row>
    <row r="635" ht="14.25" customHeight="1">
      <c r="A635" s="10"/>
    </row>
    <row r="636" ht="14.25" customHeight="1">
      <c r="A636" s="10"/>
    </row>
    <row r="637" ht="14.25" customHeight="1">
      <c r="A637" s="10"/>
    </row>
    <row r="638" ht="14.25" customHeight="1">
      <c r="A638" s="10"/>
    </row>
    <row r="639" ht="14.25" customHeight="1">
      <c r="A639" s="10"/>
    </row>
    <row r="640" ht="14.25" customHeight="1">
      <c r="A640" s="10"/>
    </row>
    <row r="641" ht="14.25" customHeight="1">
      <c r="A641" s="10"/>
    </row>
    <row r="642" ht="14.25" customHeight="1">
      <c r="A642" s="10"/>
    </row>
    <row r="643" ht="14.25" customHeight="1">
      <c r="A643" s="10"/>
    </row>
    <row r="644" ht="14.25" customHeight="1">
      <c r="A644" s="10"/>
    </row>
    <row r="645" ht="14.25" customHeight="1">
      <c r="A645" s="10"/>
    </row>
    <row r="646" ht="14.25" customHeight="1">
      <c r="A646" s="10"/>
    </row>
    <row r="647" ht="14.25" customHeight="1">
      <c r="A647" s="10"/>
    </row>
    <row r="648" ht="14.25" customHeight="1">
      <c r="A648" s="10"/>
    </row>
    <row r="649" ht="14.25" customHeight="1">
      <c r="A649" s="10"/>
    </row>
    <row r="650" ht="14.25" customHeight="1">
      <c r="A650" s="10"/>
    </row>
    <row r="651" ht="14.25" customHeight="1">
      <c r="A651" s="10"/>
    </row>
    <row r="652" ht="14.25" customHeight="1">
      <c r="A652" s="10"/>
    </row>
    <row r="653" ht="14.25" customHeight="1">
      <c r="A653" s="10"/>
    </row>
    <row r="654" ht="14.25" customHeight="1">
      <c r="A654" s="10"/>
    </row>
    <row r="655" ht="14.25" customHeight="1">
      <c r="A655" s="10"/>
    </row>
    <row r="656" ht="14.25" customHeight="1">
      <c r="A656" s="10"/>
    </row>
    <row r="657" ht="14.25" customHeight="1">
      <c r="A657" s="10"/>
    </row>
    <row r="658" ht="14.25" customHeight="1">
      <c r="A658" s="10"/>
    </row>
    <row r="659" ht="14.25" customHeight="1">
      <c r="A659" s="10"/>
    </row>
    <row r="660" ht="14.25" customHeight="1">
      <c r="A660" s="10"/>
    </row>
    <row r="661" ht="14.25" customHeight="1">
      <c r="A661" s="10"/>
    </row>
    <row r="662" ht="14.25" customHeight="1">
      <c r="A662" s="10"/>
    </row>
    <row r="663" ht="14.25" customHeight="1">
      <c r="A663" s="10"/>
    </row>
    <row r="664" ht="14.25" customHeight="1">
      <c r="A664" s="10"/>
    </row>
    <row r="665" ht="14.25" customHeight="1">
      <c r="A665" s="10"/>
    </row>
    <row r="666" ht="14.25" customHeight="1">
      <c r="A666" s="10"/>
    </row>
    <row r="667" ht="14.25" customHeight="1">
      <c r="A667" s="10"/>
    </row>
    <row r="668" ht="14.25" customHeight="1">
      <c r="A668" s="10"/>
    </row>
    <row r="669" ht="14.25" customHeight="1">
      <c r="A669" s="10"/>
    </row>
    <row r="670" ht="14.25" customHeight="1">
      <c r="A670" s="10"/>
    </row>
    <row r="671" ht="14.25" customHeight="1">
      <c r="A671" s="10"/>
    </row>
    <row r="672" ht="14.25" customHeight="1">
      <c r="A672" s="10"/>
    </row>
    <row r="673" ht="14.25" customHeight="1">
      <c r="A673" s="10"/>
    </row>
    <row r="674" ht="14.25" customHeight="1">
      <c r="A674" s="10"/>
    </row>
    <row r="675" ht="14.25" customHeight="1">
      <c r="A675" s="10"/>
    </row>
    <row r="676" ht="14.25" customHeight="1">
      <c r="A676" s="10"/>
    </row>
    <row r="677" ht="14.25" customHeight="1">
      <c r="A677" s="10"/>
    </row>
    <row r="678" ht="14.25" customHeight="1">
      <c r="A678" s="10"/>
    </row>
    <row r="679" ht="14.25" customHeight="1">
      <c r="A679" s="10"/>
    </row>
    <row r="680" ht="14.25" customHeight="1">
      <c r="A680" s="10"/>
    </row>
    <row r="681" ht="14.25" customHeight="1">
      <c r="A681" s="10"/>
    </row>
    <row r="682" ht="14.25" customHeight="1">
      <c r="A682" s="10"/>
    </row>
    <row r="683" ht="14.25" customHeight="1">
      <c r="A683" s="10"/>
    </row>
    <row r="684" ht="14.25" customHeight="1">
      <c r="A684" s="10"/>
    </row>
    <row r="685" ht="14.25" customHeight="1">
      <c r="A685" s="10"/>
    </row>
    <row r="686" ht="14.25" customHeight="1">
      <c r="A686" s="10"/>
    </row>
    <row r="687" ht="14.25" customHeight="1">
      <c r="A687" s="10"/>
    </row>
    <row r="688" ht="14.25" customHeight="1">
      <c r="A688" s="10"/>
    </row>
    <row r="689" ht="14.25" customHeight="1">
      <c r="A689" s="10"/>
    </row>
    <row r="690" ht="14.25" customHeight="1">
      <c r="A690" s="10"/>
    </row>
    <row r="691" ht="14.25" customHeight="1">
      <c r="A691" s="10"/>
    </row>
    <row r="692" ht="14.25" customHeight="1">
      <c r="A692" s="10"/>
    </row>
    <row r="693" ht="14.25" customHeight="1">
      <c r="A693" s="10"/>
    </row>
    <row r="694" ht="14.25" customHeight="1">
      <c r="A694" s="10"/>
    </row>
    <row r="695" ht="14.25" customHeight="1">
      <c r="A695" s="10"/>
    </row>
    <row r="696" ht="14.25" customHeight="1">
      <c r="A696" s="10"/>
    </row>
    <row r="697" ht="14.25" customHeight="1">
      <c r="A697" s="10"/>
    </row>
    <row r="698" ht="14.25" customHeight="1">
      <c r="A698" s="10"/>
    </row>
    <row r="699" ht="14.25" customHeight="1">
      <c r="A699" s="10"/>
    </row>
    <row r="700" ht="14.25" customHeight="1">
      <c r="A700" s="10"/>
    </row>
    <row r="701" ht="14.25" customHeight="1">
      <c r="A701" s="10"/>
    </row>
    <row r="702" ht="14.25" customHeight="1">
      <c r="A702" s="10"/>
    </row>
    <row r="703" ht="14.25" customHeight="1">
      <c r="A703" s="10"/>
    </row>
    <row r="704" ht="14.25" customHeight="1">
      <c r="A704" s="10"/>
    </row>
    <row r="705" ht="14.25" customHeight="1">
      <c r="A705" s="10"/>
    </row>
    <row r="706" ht="14.25" customHeight="1">
      <c r="A706" s="10"/>
    </row>
    <row r="707" ht="14.25" customHeight="1">
      <c r="A707" s="10"/>
    </row>
    <row r="708" ht="14.25" customHeight="1">
      <c r="A708" s="10"/>
    </row>
    <row r="709" ht="14.25" customHeight="1">
      <c r="A709" s="10"/>
    </row>
    <row r="710" ht="14.25" customHeight="1">
      <c r="A710" s="10"/>
    </row>
    <row r="711" ht="14.25" customHeight="1">
      <c r="A711" s="10"/>
    </row>
    <row r="712" ht="14.25" customHeight="1">
      <c r="A712" s="10"/>
    </row>
    <row r="713" ht="14.25" customHeight="1">
      <c r="A713" s="10"/>
    </row>
    <row r="714" ht="14.25" customHeight="1">
      <c r="A714" s="10"/>
    </row>
    <row r="715" ht="14.25" customHeight="1">
      <c r="A715" s="10"/>
    </row>
    <row r="716" ht="14.25" customHeight="1">
      <c r="A716" s="10"/>
    </row>
    <row r="717" ht="14.25" customHeight="1">
      <c r="A717" s="10"/>
    </row>
    <row r="718" ht="14.25" customHeight="1">
      <c r="A718" s="10"/>
    </row>
    <row r="719" ht="14.25" customHeight="1">
      <c r="A719" s="10"/>
    </row>
    <row r="720" ht="14.25" customHeight="1">
      <c r="A720" s="10"/>
    </row>
    <row r="721" ht="14.25" customHeight="1">
      <c r="A721" s="10"/>
    </row>
    <row r="722" ht="14.25" customHeight="1">
      <c r="A722" s="10"/>
    </row>
    <row r="723" ht="14.25" customHeight="1">
      <c r="A723" s="10"/>
    </row>
    <row r="724" ht="14.25" customHeight="1">
      <c r="A724" s="10"/>
    </row>
    <row r="725" ht="14.25" customHeight="1">
      <c r="A725" s="10"/>
    </row>
    <row r="726" ht="14.25" customHeight="1">
      <c r="A726" s="10"/>
    </row>
    <row r="727" ht="14.25" customHeight="1">
      <c r="A727" s="10"/>
    </row>
    <row r="728" ht="14.25" customHeight="1">
      <c r="A728" s="10"/>
    </row>
    <row r="729" ht="14.25" customHeight="1">
      <c r="A729" s="10"/>
    </row>
    <row r="730" ht="14.25" customHeight="1">
      <c r="A730" s="10"/>
    </row>
    <row r="731" ht="14.25" customHeight="1">
      <c r="A731" s="10"/>
    </row>
    <row r="732" ht="14.25" customHeight="1">
      <c r="A732" s="10"/>
    </row>
    <row r="733" ht="14.25" customHeight="1">
      <c r="A733" s="10"/>
    </row>
    <row r="734" ht="14.25" customHeight="1">
      <c r="A734" s="10"/>
    </row>
    <row r="735" ht="14.25" customHeight="1">
      <c r="A735" s="10"/>
    </row>
    <row r="736" ht="14.25" customHeight="1">
      <c r="A736" s="10"/>
    </row>
    <row r="737" ht="14.25" customHeight="1">
      <c r="A737" s="10"/>
    </row>
    <row r="738" ht="14.25" customHeight="1">
      <c r="A738" s="10"/>
    </row>
    <row r="739" ht="14.25" customHeight="1">
      <c r="A739" s="10"/>
    </row>
    <row r="740" ht="14.25" customHeight="1">
      <c r="A740" s="10"/>
    </row>
    <row r="741" ht="14.25" customHeight="1">
      <c r="A741" s="10"/>
    </row>
    <row r="742" ht="14.25" customHeight="1">
      <c r="A742" s="10"/>
    </row>
    <row r="743" ht="14.25" customHeight="1">
      <c r="A743" s="10"/>
    </row>
    <row r="744" ht="14.25" customHeight="1">
      <c r="A744" s="10"/>
    </row>
    <row r="745" ht="14.25" customHeight="1">
      <c r="A745" s="10"/>
    </row>
    <row r="746" ht="14.25" customHeight="1">
      <c r="A746" s="10"/>
    </row>
    <row r="747" ht="14.25" customHeight="1">
      <c r="A747" s="10"/>
    </row>
    <row r="748" ht="14.25" customHeight="1">
      <c r="A748" s="10"/>
    </row>
    <row r="749" ht="14.25" customHeight="1">
      <c r="A749" s="10"/>
    </row>
    <row r="750" ht="14.25" customHeight="1">
      <c r="A750" s="10"/>
    </row>
    <row r="751" ht="14.25" customHeight="1">
      <c r="A751" s="10"/>
    </row>
    <row r="752" ht="14.25" customHeight="1">
      <c r="A752" s="10"/>
    </row>
    <row r="753" ht="14.25" customHeight="1">
      <c r="A753" s="10"/>
    </row>
    <row r="754" ht="14.25" customHeight="1">
      <c r="A754" s="10"/>
    </row>
    <row r="755" ht="14.25" customHeight="1">
      <c r="A755" s="10"/>
    </row>
    <row r="756" ht="14.25" customHeight="1">
      <c r="A756" s="10"/>
    </row>
    <row r="757" ht="14.25" customHeight="1">
      <c r="A757" s="10"/>
    </row>
    <row r="758" ht="14.25" customHeight="1">
      <c r="A758" s="10"/>
    </row>
    <row r="759" ht="14.25" customHeight="1">
      <c r="A759" s="10"/>
    </row>
    <row r="760" ht="14.25" customHeight="1">
      <c r="A760" s="10"/>
    </row>
    <row r="761" ht="14.25" customHeight="1">
      <c r="A761" s="10"/>
    </row>
    <row r="762" ht="14.25" customHeight="1">
      <c r="A762" s="10"/>
    </row>
    <row r="763" ht="14.25" customHeight="1">
      <c r="A763" s="10"/>
    </row>
    <row r="764" ht="14.25" customHeight="1">
      <c r="A764" s="10"/>
    </row>
    <row r="765" ht="14.25" customHeight="1">
      <c r="A765" s="10"/>
    </row>
    <row r="766" ht="14.25" customHeight="1">
      <c r="A766" s="10"/>
    </row>
    <row r="767" ht="14.25" customHeight="1">
      <c r="A767" s="10"/>
    </row>
    <row r="768" ht="14.25" customHeight="1">
      <c r="A768" s="10"/>
    </row>
    <row r="769" ht="14.25" customHeight="1">
      <c r="A769" s="10"/>
    </row>
    <row r="770" ht="14.25" customHeight="1">
      <c r="A770" s="10"/>
    </row>
    <row r="771" ht="14.25" customHeight="1">
      <c r="A771" s="10"/>
    </row>
    <row r="772" ht="14.25" customHeight="1">
      <c r="A772" s="10"/>
    </row>
    <row r="773" ht="14.25" customHeight="1">
      <c r="A773" s="10"/>
    </row>
    <row r="774" ht="14.25" customHeight="1">
      <c r="A774" s="10"/>
    </row>
    <row r="775" ht="14.25" customHeight="1">
      <c r="A775" s="10"/>
    </row>
    <row r="776" ht="14.25" customHeight="1">
      <c r="A776" s="10"/>
    </row>
    <row r="777" ht="14.25" customHeight="1">
      <c r="A777" s="10"/>
    </row>
    <row r="778" ht="14.25" customHeight="1">
      <c r="A778" s="10"/>
    </row>
    <row r="779" ht="14.25" customHeight="1">
      <c r="A779" s="10"/>
    </row>
    <row r="780" ht="14.25" customHeight="1">
      <c r="A780" s="10"/>
    </row>
    <row r="781" ht="14.25" customHeight="1">
      <c r="A781" s="10"/>
    </row>
    <row r="782" ht="14.25" customHeight="1">
      <c r="A782" s="10"/>
    </row>
    <row r="783" ht="14.25" customHeight="1">
      <c r="A783" s="10"/>
    </row>
    <row r="784" ht="14.25" customHeight="1">
      <c r="A784" s="10"/>
    </row>
    <row r="785" ht="14.25" customHeight="1">
      <c r="A785" s="10"/>
    </row>
    <row r="786" ht="14.25" customHeight="1">
      <c r="A786" s="10"/>
    </row>
    <row r="787" ht="14.25" customHeight="1">
      <c r="A787" s="10"/>
    </row>
    <row r="788" ht="14.25" customHeight="1">
      <c r="A788" s="10"/>
    </row>
    <row r="789" ht="14.25" customHeight="1">
      <c r="A789" s="10"/>
    </row>
    <row r="790" ht="14.25" customHeight="1">
      <c r="A790" s="10"/>
    </row>
    <row r="791" ht="14.25" customHeight="1">
      <c r="A791" s="10"/>
    </row>
    <row r="792" ht="14.25" customHeight="1">
      <c r="A792" s="10"/>
    </row>
    <row r="793" ht="14.25" customHeight="1">
      <c r="A793" s="10"/>
    </row>
    <row r="794" ht="14.25" customHeight="1">
      <c r="A794" s="10"/>
    </row>
    <row r="795" ht="14.25" customHeight="1">
      <c r="A795" s="10"/>
    </row>
    <row r="796" ht="14.25" customHeight="1">
      <c r="A796" s="10"/>
    </row>
    <row r="797" ht="14.25" customHeight="1">
      <c r="A797" s="10"/>
    </row>
    <row r="798" ht="14.25" customHeight="1">
      <c r="A798" s="10"/>
    </row>
    <row r="799" ht="14.25" customHeight="1">
      <c r="A799" s="10"/>
    </row>
    <row r="800" ht="14.25" customHeight="1">
      <c r="A800" s="10"/>
    </row>
    <row r="801" ht="14.25" customHeight="1">
      <c r="A801" s="10"/>
    </row>
    <row r="802" ht="14.25" customHeight="1">
      <c r="A802" s="10"/>
    </row>
    <row r="803" ht="14.25" customHeight="1">
      <c r="A803" s="10"/>
    </row>
    <row r="804" ht="14.25" customHeight="1">
      <c r="A804" s="10"/>
    </row>
    <row r="805" ht="14.25" customHeight="1">
      <c r="A805" s="10"/>
    </row>
    <row r="806" ht="14.25" customHeight="1">
      <c r="A806" s="10"/>
    </row>
    <row r="807" ht="14.25" customHeight="1">
      <c r="A807" s="10"/>
    </row>
    <row r="808" ht="14.25" customHeight="1">
      <c r="A808" s="10"/>
    </row>
    <row r="809" ht="14.25" customHeight="1">
      <c r="A809" s="10"/>
    </row>
    <row r="810" ht="14.25" customHeight="1">
      <c r="A810" s="10"/>
    </row>
    <row r="811" ht="14.25" customHeight="1">
      <c r="A811" s="10"/>
    </row>
    <row r="812" ht="14.25" customHeight="1">
      <c r="A812" s="10"/>
    </row>
    <row r="813" ht="14.25" customHeight="1">
      <c r="A813" s="10"/>
    </row>
    <row r="814" ht="14.25" customHeight="1">
      <c r="A814" s="10"/>
    </row>
    <row r="815" ht="14.25" customHeight="1">
      <c r="A815" s="10"/>
    </row>
    <row r="816" ht="14.25" customHeight="1">
      <c r="A816" s="10"/>
    </row>
    <row r="817" ht="14.25" customHeight="1">
      <c r="A817" s="10"/>
    </row>
    <row r="818" ht="14.25" customHeight="1">
      <c r="A818" s="10"/>
    </row>
    <row r="819" ht="14.25" customHeight="1">
      <c r="A819" s="10"/>
    </row>
    <row r="820" ht="14.25" customHeight="1">
      <c r="A820" s="10"/>
    </row>
    <row r="821" ht="14.25" customHeight="1">
      <c r="A821" s="10"/>
    </row>
    <row r="822" ht="14.25" customHeight="1">
      <c r="A822" s="10"/>
    </row>
    <row r="823" ht="14.25" customHeight="1">
      <c r="A823" s="10"/>
    </row>
    <row r="824" ht="14.25" customHeight="1">
      <c r="A824" s="10"/>
    </row>
    <row r="825" ht="14.25" customHeight="1">
      <c r="A825" s="10"/>
    </row>
    <row r="826" ht="14.25" customHeight="1">
      <c r="A826" s="10"/>
    </row>
    <row r="827" ht="14.25" customHeight="1">
      <c r="A827" s="10"/>
    </row>
    <row r="828" ht="14.25" customHeight="1">
      <c r="A828" s="10"/>
    </row>
    <row r="829" ht="14.25" customHeight="1">
      <c r="A829" s="10"/>
    </row>
    <row r="830" ht="14.25" customHeight="1">
      <c r="A830" s="10"/>
    </row>
    <row r="831" ht="14.25" customHeight="1">
      <c r="A831" s="10"/>
    </row>
    <row r="832" ht="14.25" customHeight="1">
      <c r="A832" s="10"/>
    </row>
    <row r="833" ht="14.25" customHeight="1">
      <c r="A833" s="10"/>
    </row>
    <row r="834" ht="14.25" customHeight="1">
      <c r="A834" s="10"/>
    </row>
    <row r="835" ht="14.25" customHeight="1">
      <c r="A835" s="10"/>
    </row>
    <row r="836" ht="14.25" customHeight="1">
      <c r="A836" s="10"/>
    </row>
    <row r="837" ht="14.25" customHeight="1">
      <c r="A837" s="10"/>
    </row>
    <row r="838" ht="14.25" customHeight="1">
      <c r="A838" s="10"/>
    </row>
    <row r="839" ht="14.25" customHeight="1">
      <c r="A839" s="10"/>
    </row>
    <row r="840" ht="14.25" customHeight="1">
      <c r="A840" s="10"/>
    </row>
    <row r="841" ht="14.25" customHeight="1">
      <c r="A841" s="10"/>
    </row>
    <row r="842" ht="14.25" customHeight="1">
      <c r="A842" s="10"/>
    </row>
    <row r="843" ht="14.25" customHeight="1">
      <c r="A843" s="10"/>
    </row>
    <row r="844" ht="14.25" customHeight="1">
      <c r="A844" s="10"/>
    </row>
    <row r="845" ht="14.25" customHeight="1">
      <c r="A845" s="10"/>
    </row>
    <row r="846" ht="14.25" customHeight="1">
      <c r="A846" s="10"/>
    </row>
    <row r="847" ht="14.25" customHeight="1">
      <c r="A847" s="10"/>
    </row>
    <row r="848" ht="14.25" customHeight="1">
      <c r="A848" s="10"/>
    </row>
    <row r="849" ht="14.25" customHeight="1">
      <c r="A849" s="10"/>
    </row>
    <row r="850" ht="14.25" customHeight="1">
      <c r="A850" s="10"/>
    </row>
    <row r="851" ht="14.25" customHeight="1">
      <c r="A851" s="10"/>
    </row>
    <row r="852" ht="14.25" customHeight="1">
      <c r="A852" s="10"/>
    </row>
    <row r="853" ht="14.25" customHeight="1">
      <c r="A853" s="10"/>
    </row>
    <row r="854" ht="14.25" customHeight="1">
      <c r="A854" s="10"/>
    </row>
    <row r="855" ht="14.25" customHeight="1">
      <c r="A855" s="10"/>
    </row>
    <row r="856" ht="14.25" customHeight="1">
      <c r="A856" s="10"/>
    </row>
    <row r="857" ht="14.25" customHeight="1">
      <c r="A857" s="10"/>
    </row>
    <row r="858" ht="14.25" customHeight="1">
      <c r="A858" s="10"/>
    </row>
    <row r="859" ht="14.25" customHeight="1">
      <c r="A859" s="10"/>
    </row>
    <row r="860" ht="14.25" customHeight="1">
      <c r="A860" s="10"/>
    </row>
    <row r="861" ht="14.25" customHeight="1">
      <c r="A861" s="10"/>
    </row>
    <row r="862" ht="14.25" customHeight="1">
      <c r="A862" s="10"/>
    </row>
    <row r="863" ht="14.25" customHeight="1">
      <c r="A863" s="10"/>
    </row>
    <row r="864" ht="14.25" customHeight="1">
      <c r="A864" s="10"/>
    </row>
    <row r="865" ht="14.25" customHeight="1">
      <c r="A865" s="10"/>
    </row>
    <row r="866" ht="14.25" customHeight="1">
      <c r="A866" s="10"/>
    </row>
    <row r="867" ht="14.25" customHeight="1">
      <c r="A867" s="10"/>
    </row>
    <row r="868" ht="14.25" customHeight="1">
      <c r="A868" s="10"/>
    </row>
    <row r="869" ht="14.25" customHeight="1">
      <c r="A869" s="10"/>
    </row>
    <row r="870" ht="14.25" customHeight="1">
      <c r="A870" s="10"/>
    </row>
    <row r="871" ht="14.25" customHeight="1">
      <c r="A871" s="10"/>
    </row>
    <row r="872" ht="14.25" customHeight="1">
      <c r="A872" s="10"/>
    </row>
    <row r="873" ht="14.25" customHeight="1">
      <c r="A873" s="10"/>
    </row>
    <row r="874" ht="14.25" customHeight="1">
      <c r="A874" s="10"/>
    </row>
    <row r="875" ht="14.25" customHeight="1">
      <c r="A875" s="10"/>
    </row>
    <row r="876" ht="14.25" customHeight="1">
      <c r="A876" s="10"/>
    </row>
    <row r="877" ht="14.25" customHeight="1">
      <c r="A877" s="10"/>
    </row>
    <row r="878" ht="14.25" customHeight="1">
      <c r="A878" s="10"/>
    </row>
    <row r="879" ht="14.25" customHeight="1">
      <c r="A879" s="10"/>
    </row>
    <row r="880" ht="14.25" customHeight="1">
      <c r="A880" s="10"/>
    </row>
    <row r="881" ht="14.25" customHeight="1">
      <c r="A881" s="10"/>
    </row>
    <row r="882" ht="14.25" customHeight="1">
      <c r="A882" s="10"/>
    </row>
    <row r="883" ht="14.25" customHeight="1">
      <c r="A883" s="10"/>
    </row>
    <row r="884" ht="14.25" customHeight="1">
      <c r="A884" s="10"/>
    </row>
    <row r="885" ht="14.25" customHeight="1">
      <c r="A885" s="10"/>
    </row>
    <row r="886" ht="14.25" customHeight="1">
      <c r="A886" s="10"/>
    </row>
    <row r="887" ht="14.25" customHeight="1">
      <c r="A887" s="10"/>
    </row>
    <row r="888" ht="14.25" customHeight="1">
      <c r="A888" s="10"/>
    </row>
    <row r="889" ht="14.25" customHeight="1">
      <c r="A889" s="10"/>
    </row>
    <row r="890" ht="14.25" customHeight="1">
      <c r="A890" s="10"/>
    </row>
    <row r="891" ht="14.25" customHeight="1">
      <c r="A891" s="10"/>
    </row>
    <row r="892" ht="14.25" customHeight="1">
      <c r="A892" s="10"/>
    </row>
    <row r="893" ht="14.25" customHeight="1">
      <c r="A893" s="10"/>
    </row>
    <row r="894" ht="14.25" customHeight="1">
      <c r="A894" s="10"/>
    </row>
    <row r="895" ht="14.25" customHeight="1">
      <c r="A895" s="10"/>
    </row>
    <row r="896" ht="14.25" customHeight="1">
      <c r="A896" s="10"/>
    </row>
    <row r="897" ht="14.25" customHeight="1">
      <c r="A897" s="10"/>
    </row>
    <row r="898" ht="14.25" customHeight="1">
      <c r="A898" s="10"/>
    </row>
    <row r="899" ht="14.25" customHeight="1">
      <c r="A899" s="10"/>
    </row>
    <row r="900" ht="14.25" customHeight="1">
      <c r="A900" s="10"/>
    </row>
    <row r="901" ht="14.25" customHeight="1">
      <c r="A901" s="10"/>
    </row>
    <row r="902" ht="14.25" customHeight="1">
      <c r="A902" s="10"/>
    </row>
    <row r="903" ht="14.25" customHeight="1">
      <c r="A903" s="10"/>
    </row>
    <row r="904" ht="14.25" customHeight="1">
      <c r="A904" s="10"/>
    </row>
    <row r="905" ht="14.25" customHeight="1">
      <c r="A905" s="10"/>
    </row>
    <row r="906" ht="14.25" customHeight="1">
      <c r="A906" s="10"/>
    </row>
    <row r="907" ht="14.25" customHeight="1">
      <c r="A907" s="10"/>
    </row>
    <row r="908" ht="14.25" customHeight="1">
      <c r="A908" s="10"/>
    </row>
    <row r="909" ht="14.25" customHeight="1">
      <c r="A909" s="10"/>
    </row>
    <row r="910" ht="14.25" customHeight="1">
      <c r="A910" s="10"/>
    </row>
    <row r="911" ht="14.25" customHeight="1">
      <c r="A911" s="10"/>
    </row>
    <row r="912" ht="14.25" customHeight="1">
      <c r="A912" s="10"/>
    </row>
    <row r="913" ht="14.25" customHeight="1">
      <c r="A913" s="10"/>
    </row>
    <row r="914" ht="14.25" customHeight="1">
      <c r="A914" s="10"/>
    </row>
    <row r="915" ht="14.25" customHeight="1">
      <c r="A915" s="10"/>
    </row>
    <row r="916" ht="14.25" customHeight="1">
      <c r="A916" s="10"/>
    </row>
    <row r="917" ht="14.25" customHeight="1">
      <c r="A917" s="10"/>
    </row>
    <row r="918" ht="14.25" customHeight="1">
      <c r="A918" s="10"/>
    </row>
    <row r="919" ht="14.25" customHeight="1">
      <c r="A919" s="10"/>
    </row>
    <row r="920" ht="14.25" customHeight="1">
      <c r="A920" s="10"/>
    </row>
    <row r="921" ht="14.25" customHeight="1">
      <c r="A921" s="10"/>
    </row>
    <row r="922" ht="14.25" customHeight="1">
      <c r="A922" s="10"/>
    </row>
    <row r="923" ht="14.25" customHeight="1">
      <c r="A923" s="10"/>
    </row>
    <row r="924" ht="14.25" customHeight="1">
      <c r="A924" s="10"/>
    </row>
    <row r="925" ht="14.25" customHeight="1">
      <c r="A925" s="10"/>
    </row>
    <row r="926" ht="14.25" customHeight="1">
      <c r="A926" s="10"/>
    </row>
    <row r="927" ht="14.25" customHeight="1">
      <c r="A927" s="10"/>
    </row>
    <row r="928" ht="14.25" customHeight="1">
      <c r="A928" s="10"/>
    </row>
    <row r="929" ht="14.25" customHeight="1">
      <c r="A929" s="10"/>
    </row>
    <row r="930" ht="14.25" customHeight="1">
      <c r="A930" s="10"/>
    </row>
    <row r="931" ht="14.25" customHeight="1">
      <c r="A931" s="10"/>
    </row>
    <row r="932" ht="14.25" customHeight="1">
      <c r="A932" s="10"/>
    </row>
    <row r="933" ht="14.25" customHeight="1">
      <c r="A933" s="10"/>
    </row>
    <row r="934" ht="14.25" customHeight="1">
      <c r="A934" s="10"/>
    </row>
    <row r="935" ht="14.25" customHeight="1">
      <c r="A935" s="10"/>
    </row>
    <row r="936" ht="14.25" customHeight="1">
      <c r="A936" s="10"/>
    </row>
    <row r="937" ht="14.25" customHeight="1">
      <c r="A937" s="10"/>
    </row>
    <row r="938" ht="14.25" customHeight="1">
      <c r="A938" s="10"/>
    </row>
    <row r="939" ht="14.25" customHeight="1">
      <c r="A939" s="10"/>
    </row>
    <row r="940" ht="14.25" customHeight="1">
      <c r="A940" s="10"/>
    </row>
    <row r="941" ht="14.25" customHeight="1">
      <c r="A941" s="10"/>
    </row>
    <row r="942" ht="14.25" customHeight="1">
      <c r="A942" s="10"/>
    </row>
    <row r="943" ht="14.25" customHeight="1">
      <c r="A943" s="10"/>
    </row>
    <row r="944" ht="14.25" customHeight="1">
      <c r="A944" s="10"/>
    </row>
    <row r="945" ht="14.25" customHeight="1">
      <c r="A945" s="10"/>
    </row>
    <row r="946" ht="14.25" customHeight="1">
      <c r="A946" s="10"/>
    </row>
    <row r="947" ht="14.25" customHeight="1">
      <c r="A947" s="10"/>
    </row>
    <row r="948" ht="14.25" customHeight="1">
      <c r="A948" s="10"/>
    </row>
    <row r="949" ht="14.25" customHeight="1">
      <c r="A949" s="10"/>
    </row>
    <row r="950" ht="14.25" customHeight="1">
      <c r="A950" s="10"/>
    </row>
    <row r="951" ht="14.25" customHeight="1">
      <c r="A951" s="10"/>
    </row>
    <row r="952" ht="14.25" customHeight="1">
      <c r="A952" s="10"/>
    </row>
    <row r="953" ht="14.25" customHeight="1">
      <c r="A953" s="10"/>
    </row>
    <row r="954" ht="14.25" customHeight="1">
      <c r="A954" s="10"/>
    </row>
    <row r="955" ht="14.25" customHeight="1">
      <c r="A955" s="10"/>
    </row>
    <row r="956" ht="14.25" customHeight="1">
      <c r="A956" s="10"/>
    </row>
    <row r="957" ht="14.25" customHeight="1">
      <c r="A957" s="10"/>
    </row>
    <row r="958" ht="14.25" customHeight="1">
      <c r="A958" s="10"/>
    </row>
    <row r="959" ht="14.25" customHeight="1">
      <c r="A959" s="10"/>
    </row>
    <row r="960" ht="14.25" customHeight="1">
      <c r="A960" s="10"/>
    </row>
    <row r="961" ht="14.25" customHeight="1">
      <c r="A961" s="10"/>
    </row>
    <row r="962" ht="14.25" customHeight="1">
      <c r="A962" s="10"/>
    </row>
    <row r="963" ht="14.25" customHeight="1">
      <c r="A963" s="10"/>
    </row>
    <row r="964" ht="14.25" customHeight="1">
      <c r="A964" s="10"/>
    </row>
    <row r="965" ht="14.25" customHeight="1">
      <c r="A965" s="10"/>
    </row>
    <row r="966" ht="14.25" customHeight="1">
      <c r="A966" s="10"/>
    </row>
    <row r="967" ht="14.25" customHeight="1">
      <c r="A967" s="10"/>
    </row>
    <row r="968" ht="14.25" customHeight="1">
      <c r="A968" s="10"/>
    </row>
    <row r="969" ht="14.25" customHeight="1">
      <c r="A969" s="10"/>
    </row>
    <row r="970" ht="14.25" customHeight="1">
      <c r="A970" s="10"/>
    </row>
    <row r="971" ht="14.25" customHeight="1">
      <c r="A971" s="10"/>
    </row>
    <row r="972" ht="14.25" customHeight="1">
      <c r="A972" s="10"/>
    </row>
    <row r="973" ht="14.25" customHeight="1">
      <c r="A973" s="10"/>
    </row>
    <row r="974" ht="14.25" customHeight="1">
      <c r="A974" s="10"/>
    </row>
    <row r="975" ht="14.25" customHeight="1">
      <c r="A975" s="10"/>
    </row>
    <row r="976" ht="14.25" customHeight="1">
      <c r="A976" s="10"/>
    </row>
    <row r="977" ht="14.25" customHeight="1">
      <c r="A977" s="10"/>
    </row>
    <row r="978" ht="14.25" customHeight="1">
      <c r="A978" s="10"/>
    </row>
    <row r="979" ht="14.25" customHeight="1">
      <c r="A979" s="10"/>
    </row>
    <row r="980" ht="14.25" customHeight="1">
      <c r="A980" s="10"/>
    </row>
    <row r="981" ht="14.25" customHeight="1">
      <c r="A981" s="10"/>
    </row>
    <row r="982" ht="14.25" customHeight="1">
      <c r="A982" s="10"/>
    </row>
    <row r="983" ht="14.25" customHeight="1">
      <c r="A983" s="10"/>
    </row>
    <row r="984" ht="14.25" customHeight="1">
      <c r="A984" s="10"/>
    </row>
    <row r="985" ht="14.25" customHeight="1">
      <c r="A985" s="10"/>
    </row>
    <row r="986" ht="14.25" customHeight="1">
      <c r="A986" s="10"/>
    </row>
    <row r="987" ht="14.25" customHeight="1">
      <c r="A987" s="10"/>
    </row>
    <row r="988" ht="14.25" customHeight="1">
      <c r="A988" s="10"/>
    </row>
    <row r="989" ht="14.25" customHeight="1">
      <c r="A989" s="10"/>
    </row>
    <row r="990" ht="14.25" customHeight="1">
      <c r="A990" s="10"/>
    </row>
    <row r="991" ht="14.25" customHeight="1">
      <c r="A991" s="10"/>
    </row>
    <row r="992" ht="14.25" customHeight="1">
      <c r="A992" s="10"/>
    </row>
    <row r="993" ht="14.25" customHeight="1">
      <c r="A993" s="10"/>
    </row>
    <row r="994" ht="14.25" customHeight="1">
      <c r="A994" s="10"/>
    </row>
    <row r="995" ht="14.25" customHeight="1">
      <c r="A995" s="10"/>
    </row>
    <row r="996" ht="14.25" customHeight="1">
      <c r="A996" s="10"/>
    </row>
    <row r="997" ht="14.25" customHeight="1">
      <c r="A997" s="10"/>
    </row>
    <row r="998" ht="14.25" customHeight="1">
      <c r="A998" s="10"/>
    </row>
    <row r="999" ht="14.25" customHeight="1">
      <c r="A999" s="10"/>
    </row>
    <row r="1000" ht="14.25" customHeight="1">
      <c r="A1000" s="10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20" t="s">
        <v>127</v>
      </c>
    </row>
    <row r="2" ht="21.75" customHeight="1">
      <c r="A2" s="1" t="s">
        <v>128</v>
      </c>
      <c r="B2" s="21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1" t="str">
        <f t="array" ref="B3">IFERROR(INDEX(Elenco!$B$5:$B$25,MATCH(0,COUNTIF($B$2:B2,Elenco!$B$5:$B$25)+IF(Elenco!$C$5:$C$25&lt;&gt;LARGE(Elenco!$C$5:$C$25,1),1,0),0)),"")</f>
        <v>Khawla</v>
      </c>
      <c r="C3" s="1">
        <f t="array" ref="C3">IFERROR(INDEX(Elenco!$C$5:$C$25,MATCH(B3,Elenco!$B$5:$B$25,0)),"")</f>
        <v>14</v>
      </c>
      <c r="D3" s="1" t="s">
        <v>130</v>
      </c>
    </row>
    <row r="4" ht="19.5" customHeight="1">
      <c r="A4" s="1">
        <v>2.0</v>
      </c>
      <c r="B4" s="21" t="str">
        <f t="array" ref="B4">IFERROR(INDEX(Elenco!$B$5:$B$25,MATCH(0,COUNTIF($B$2:B3,Elenco!$B$5:$B$25)+IF(Elenco!$C$5:$C$25&lt;&gt;LARGE(Elenco!$C$5:$C$25,2),1,0),0)),"")</f>
        <v>Claudia S.</v>
      </c>
      <c r="C4" s="1">
        <f t="array" ref="C4">IFERROR(INDEX(Elenco!$C$5:$C$25,MATCH(B4,Elenco!$B$5:$B$25,0)),"")</f>
        <v>14</v>
      </c>
      <c r="D4" s="3"/>
    </row>
    <row r="5" ht="19.5" customHeight="1">
      <c r="A5" s="1">
        <v>3.0</v>
      </c>
      <c r="B5" s="21" t="str">
        <f t="array" ref="B5">IFERROR(INDEX(Elenco!$B$5:$B$25,MATCH(0,COUNTIF($B$2:B4,Elenco!$B$5:$B$25)+IF(Elenco!$C$5:$C$25&lt;&gt;LARGE(Elenco!$C$5:$C$25,3),1,0),0)),"")</f>
        <v>Pier</v>
      </c>
      <c r="C5" s="1">
        <f t="array" ref="C5">IFERROR(INDEX(Elenco!$C$5:$C$25,MATCH(B5,Elenco!$B$5:$B$25,0)),"")</f>
        <v>13</v>
      </c>
      <c r="D5" s="3"/>
    </row>
    <row r="6" ht="19.5" customHeight="1">
      <c r="A6" s="1">
        <v>4.0</v>
      </c>
      <c r="B6" s="21" t="str">
        <f t="array" ref="B6">IFERROR(INDEX(Elenco!$B$5:$B$25,MATCH(0,COUNTIF($B$2:B5,Elenco!$B$5:$B$25)+IF(Elenco!$C$5:$C$25&lt;&gt;LARGE(Elenco!$C$5:$C$25,4),1,0),0)),"")</f>
        <v>Alessio S.</v>
      </c>
      <c r="C6" s="1">
        <f t="array" ref="C6">IFERROR(INDEX(Elenco!$C$5:$C$25,MATCH(B6,Elenco!$B$5:$B$25,0)),"")</f>
        <v>13</v>
      </c>
      <c r="D6" s="3"/>
    </row>
    <row r="7" ht="19.5" customHeight="1">
      <c r="A7" s="1">
        <v>5.0</v>
      </c>
      <c r="B7" s="21" t="str">
        <f t="array" ref="B7">IFERROR(INDEX(Elenco!$B$5:$B$25,MATCH(0,COUNTIF($B$2:B6,Elenco!$B$5:$B$25)+IF(Elenco!$C$5:$C$25&lt;&gt;LARGE(Elenco!$C$5:$C$25,5),1,0),0)),"")</f>
        <v>Federico R.</v>
      </c>
      <c r="C7" s="1">
        <f t="array" ref="C7">IFERROR(INDEX(Elenco!$C$5:$C$25,MATCH(B7,Elenco!$B$5:$B$25,0)),"")</f>
        <v>13</v>
      </c>
      <c r="D7" s="1"/>
    </row>
    <row r="8" ht="19.5" customHeight="1">
      <c r="A8" s="1">
        <v>6.0</v>
      </c>
      <c r="B8" s="21" t="str">
        <f t="array" ref="B8">IFERROR(INDEX(Elenco!$B$5:$B$25,MATCH(0,COUNTIF($B$2:B7,Elenco!$B$5:$B$25)+IF(Elenco!$C$5:$C$25&lt;&gt;LARGE(Elenco!$C$5:$C$25,6),1,0),0)),"")</f>
        <v>Alessandra C.</v>
      </c>
      <c r="C8" s="1">
        <f t="array" ref="C8">IFERROR(INDEX(Elenco!$C$5:$C$25,MATCH(B8,Elenco!$B$5:$B$25,0)),"")</f>
        <v>12</v>
      </c>
      <c r="D8" s="3"/>
    </row>
    <row r="9" ht="19.5" customHeight="1">
      <c r="A9" s="1">
        <v>7.0</v>
      </c>
      <c r="B9" s="21" t="str">
        <f t="array" ref="B9">IFERROR(INDEX(Elenco!$B$5:$B$25,MATCH(0,COUNTIF($B$2:B8,Elenco!$B$5:$B$25)+IF(Elenco!$C$5:$C$25&lt;&gt;LARGE(Elenco!$C$5:$C$25,7),1,0),0)),"")</f>
        <v>Alessio R.</v>
      </c>
      <c r="C9" s="1">
        <f t="array" ref="C9">IFERROR(INDEX(Elenco!$C$5:$C$25,MATCH(B9,Elenco!$B$5:$B$25,0)),"")</f>
        <v>12</v>
      </c>
      <c r="D9" s="1"/>
    </row>
    <row r="10" ht="19.5" customHeight="1">
      <c r="A10" s="1">
        <v>8.0</v>
      </c>
      <c r="B10" s="21" t="str">
        <f t="array" ref="B10">IFERROR(INDEX(Elenco!$B$5:$B$25,MATCH(0,COUNTIF($B$2:B9,Elenco!$B$5:$B$25)+IF(Elenco!$C$5:$C$25&lt;&gt;LARGE(Elenco!$C$5:$C$25,8),1,0),0)),"")</f>
        <v>Leo Proietti</v>
      </c>
      <c r="C10" s="1">
        <f t="array" ref="C10">IFERROR(INDEX(Elenco!$C$5:$C$25,MATCH(B10,Elenco!$B$5:$B$25,0)),"")</f>
        <v>11</v>
      </c>
      <c r="D10" s="3"/>
    </row>
    <row r="11" ht="19.5" customHeight="1">
      <c r="A11" s="1">
        <v>9.0</v>
      </c>
      <c r="B11" s="21" t="str">
        <f t="array" ref="B11">IFERROR(INDEX(Elenco!$B$5:$B$25,MATCH(0,COUNTIF($B$2:B10,Elenco!$B$5:$B$25)+IF(Elenco!$C$5:$C$25&lt;&gt;LARGE(Elenco!$C$5:$C$25,9),1,0),0)),"")</f>
        <v>Jack</v>
      </c>
      <c r="C11" s="1">
        <f t="array" ref="C11">IFERROR(INDEX(Elenco!$C$5:$C$25,MATCH(B11,Elenco!$B$5:$B$25,0)),"")</f>
        <v>11</v>
      </c>
      <c r="D11" s="1"/>
    </row>
    <row r="12" ht="19.5" customHeight="1">
      <c r="A12" s="1">
        <v>10.0</v>
      </c>
      <c r="B12" s="21" t="str">
        <f t="array" ref="B12">IFERROR(INDEX(Elenco!$B$5:$B$25,MATCH(0,COUNTIF($B$2:B11,Elenco!$B$5:$B$25)+IF(Elenco!$C$5:$C$25&lt;&gt;LARGE(Elenco!$C$5:$C$25,10),1,0),0)),"")</f>
        <v>Edoardo</v>
      </c>
      <c r="C12" s="1">
        <f t="array" ref="C12">IFERROR(INDEX(Elenco!$C$5:$C$25,MATCH(B12,Elenco!$B$5:$B$25,0)),"")</f>
        <v>11</v>
      </c>
      <c r="D12" s="3"/>
    </row>
    <row r="13" ht="19.5" customHeight="1">
      <c r="A13" s="1">
        <v>11.0</v>
      </c>
      <c r="B13" s="21" t="str">
        <f t="array" ref="B13">IFERROR(INDEX(Elenco!$B$5:$B$25,MATCH(0,COUNTIF($B$2:B12,Elenco!$B$5:$B$25)+IF(Elenco!$C$5:$C$25&lt;&gt;LARGE(Elenco!$C$5:$C$25,11),1,0),0)),"")</f>
        <v>Tania</v>
      </c>
      <c r="C13" s="1">
        <f t="array" ref="C13">IFERROR(INDEX(Elenco!$C$5:$C$25,MATCH(B13,Elenco!$B$5:$B$25,0)),"")</f>
        <v>11</v>
      </c>
      <c r="D13" s="1"/>
    </row>
    <row r="14" ht="19.5" customHeight="1">
      <c r="A14" s="1">
        <v>12.0</v>
      </c>
      <c r="B14" s="21" t="str">
        <f t="array" ref="B14">IFERROR(INDEX(Elenco!$B$5:$B$25,MATCH(0,COUNTIF($B$2:B13,Elenco!$B$5:$B$25)+IF(Elenco!$C$5:$C$25&lt;&gt;LARGE(Elenco!$C$5:$C$25,12),1,0),0)),"")</f>
        <v>Marco G.</v>
      </c>
      <c r="C14" s="1">
        <f t="array" ref="C14">IFERROR(INDEX(Elenco!$C$5:$C$25,MATCH(B14,Elenco!$B$5:$B$25,0)),"")</f>
        <v>11</v>
      </c>
      <c r="D14" s="3"/>
    </row>
    <row r="15" ht="19.5" customHeight="1">
      <c r="A15" s="1">
        <v>13.0</v>
      </c>
      <c r="B15" s="21" t="str">
        <f t="array" ref="B15">IFERROR(INDEX(Elenco!$B$5:$B$25,MATCH(0,COUNTIF($B$2:B14,Elenco!$B$5:$B$25)+IF(Elenco!$C$5:$C$25&lt;&gt;LARGE(Elenco!$C$5:$C$25,13),1,0),0)),"")</f>
        <v>Valerio</v>
      </c>
      <c r="C15" s="1">
        <f t="array" ref="C15">IFERROR(INDEX(Elenco!$C$5:$C$25,MATCH(B15,Elenco!$B$5:$B$25,0)),"")</f>
        <v>10</v>
      </c>
      <c r="D15" s="1"/>
    </row>
    <row r="16" ht="19.5" customHeight="1">
      <c r="A16" s="1">
        <v>14.0</v>
      </c>
      <c r="B16" s="21" t="str">
        <f t="array" ref="B16">IFERROR(INDEX(Elenco!$B$5:$B$25,MATCH(0,COUNTIF($B$2:B15,Elenco!$B$5:$B$25)+IF(Elenco!$C$5:$C$25&lt;&gt;LARGE(Elenco!$C$5:$C$25,14),1,0),0)),"")</f>
        <v>Claudia A.</v>
      </c>
      <c r="C16" s="1">
        <f t="array" ref="C16">IFERROR(INDEX(Elenco!$C$5:$C$25,MATCH(B16,Elenco!$B$5:$B$25,0)),"")</f>
        <v>10</v>
      </c>
      <c r="D16" s="3"/>
    </row>
    <row r="17" ht="19.5" customHeight="1">
      <c r="A17" s="1">
        <v>15.0</v>
      </c>
      <c r="B17" s="21" t="str">
        <f t="array" ref="B17">IFERROR(INDEX(Elenco!$B$5:$B$25,MATCH(0,COUNTIF($B$2:B16,Elenco!$B$5:$B$25)+IF(Elenco!$C$5:$C$25&lt;&gt;LARGE(Elenco!$C$5:$C$25,15),1,0),0)),"")</f>
        <v>Marco P.</v>
      </c>
      <c r="C17" s="1">
        <f t="array" ref="C17">IFERROR(INDEX(Elenco!$C$5:$C$25,MATCH(B17,Elenco!$B$5:$B$25,0)),"")</f>
        <v>10</v>
      </c>
      <c r="D17" s="1"/>
    </row>
    <row r="18" ht="19.5" customHeight="1">
      <c r="A18" s="1">
        <v>16.0</v>
      </c>
      <c r="B18" s="21" t="str">
        <f t="array" ref="B18">IFERROR(INDEX(Elenco!$B$5:$B$25,MATCH(0,COUNTIF($B$2:B17,Elenco!$B$5:$B$25)+IF(Elenco!$C$5:$C$25&lt;&gt;LARGE(Elenco!$C$5:$C$25,16),1,0),0)),"")</f>
        <v>Antonella</v>
      </c>
      <c r="C18" s="1">
        <f t="array" ref="C18">IFERROR(INDEX(Elenco!$C$5:$C$25,MATCH(B18,Elenco!$B$5:$B$25,0)),"")</f>
        <v>9</v>
      </c>
      <c r="D18" s="3"/>
    </row>
    <row r="19" ht="19.5" customHeight="1">
      <c r="A19" s="1">
        <v>17.0</v>
      </c>
      <c r="B19" s="21" t="str">
        <f t="array" ref="B19">IFERROR(INDEX(Elenco!$B$5:$B$25,MATCH(0,COUNTIF($B$2:B18,Elenco!$B$5:$B$25)+IF(Elenco!$C$5:$C$25&lt;&gt;LARGE(Elenco!$C$5:$C$25,17),1,0),0)),"")</f>
        <v>Samuele</v>
      </c>
      <c r="C19" s="1">
        <f t="array" ref="C19">IFERROR(INDEX(Elenco!$C$5:$C$25,MATCH(B19,Elenco!$B$5:$B$25,0)),"")</f>
        <v>9</v>
      </c>
      <c r="D19" s="1"/>
    </row>
    <row r="20" ht="19.5" customHeight="1">
      <c r="A20" s="1">
        <v>18.0</v>
      </c>
      <c r="B20" s="21" t="str">
        <f t="array" ref="B20">IFERROR(INDEX(Elenco!$B$5:$B$25,MATCH(0,COUNTIF($B$2:B19,Elenco!$B$5:$B$25)+IF(Elenco!$C$5:$C$25&lt;&gt;LARGE(Elenco!$C$5:$C$25,18),1,0),0)),"")</f>
        <v>Alessandra P.</v>
      </c>
      <c r="C20" s="1">
        <f t="array" ref="C20">IFERROR(INDEX(Elenco!$C$5:$C$25,MATCH(B20,Elenco!$B$5:$B$25,0)),"")</f>
        <v>9</v>
      </c>
      <c r="D20" s="3"/>
    </row>
    <row r="21" ht="19.5" customHeight="1">
      <c r="A21" s="1">
        <v>19.0</v>
      </c>
      <c r="B21" s="21" t="str">
        <f t="array" ref="B21">IFERROR(INDEX(Elenco!$B$5:$B$25,MATCH(0,COUNTIF($B$2:B20,Elenco!$B$5:$B$25)+IF(Elenco!$C$5:$C$25&lt;&gt;LARGE(Elenco!$C$5:$C$25,19),1,0),0)),"")</f>
        <v>Leo Policella</v>
      </c>
      <c r="C21" s="1">
        <f t="array" ref="C21">IFERROR(INDEX(Elenco!$C$5:$C$25,MATCH(B21,Elenco!$B$5:$B$25,0)),"")</f>
        <v>9</v>
      </c>
      <c r="D21" s="1"/>
    </row>
    <row r="22" ht="19.5" customHeight="1">
      <c r="A22" s="1">
        <v>20.0</v>
      </c>
      <c r="B22" s="21" t="str">
        <f t="array" ref="B22">IFERROR(INDEX(Elenco!$B$5:$B$25,MATCH(0,COUNTIF($B$2:B21,Elenco!$B$5:$B$25)+IF(Elenco!$C$5:$C$25&lt;&gt;LARGE(Elenco!$C$5:$C$25,20),1,0),0)),"")</f>
        <v>Maila</v>
      </c>
      <c r="C22" s="1">
        <f t="array" ref="C22">IFERROR(INDEX(Elenco!$C$5:$C$25,MATCH(B22,Elenco!$B$5:$B$25,0)),"")</f>
        <v>9</v>
      </c>
      <c r="D22" s="3"/>
    </row>
    <row r="23" ht="19.5" customHeight="1">
      <c r="A23" s="1">
        <v>21.0</v>
      </c>
      <c r="B23" s="21" t="str">
        <f t="array" ref="B23">IFERROR(INDEX(Elenco!$B$5:$B$25,MATCH(0,COUNTIF($B$2:B22,Elenco!$B$5:$B$25)+IF(Elenco!$C$5:$C$25&lt;&gt;LARGE(Elenco!$C$5:$C$25,21),1,0),0)),"")</f>
        <v>Vito</v>
      </c>
      <c r="C23" s="1">
        <f t="array" ref="C23">IFERROR(INDEX(Elenco!$C$5:$C$25,MATCH(B23,Elenco!$B$5:$B$25,0)),"")</f>
        <v>6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