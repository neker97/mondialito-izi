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evisioni partecipanti" sheetId="1" r:id="rId4"/>
    <sheet state="visible" name="Regolamento" sheetId="2" r:id="rId5"/>
    <sheet state="visible" name="Elenco" sheetId="3" r:id="rId6"/>
    <sheet state="visible" name="Classifica" sheetId="4" r:id="rId7"/>
  </sheets>
  <definedNames/>
  <calcPr/>
  <extLst>
    <ext uri="GoogleSheetsCustomDataVersion2">
      <go:sheetsCustomData xmlns:go="http://customooxmlschemas.google.com/" r:id="rId8" roundtripDataChecksum="zP+DkyfMhx3OrAV7Xl9ttyF5QHnjydStKT6i/ZAf/5c="/>
    </ext>
  </extLst>
</workbook>
</file>

<file path=xl/sharedStrings.xml><?xml version="1.0" encoding="utf-8"?>
<sst xmlns="http://schemas.openxmlformats.org/spreadsheetml/2006/main" count="741" uniqueCount="131">
  <si>
    <t>#</t>
  </si>
  <si>
    <t>Data</t>
  </si>
  <si>
    <t>Orario (IT)</t>
  </si>
  <si>
    <t>Girone</t>
  </si>
  <si>
    <t>Squadra Casa</t>
  </si>
  <si>
    <t>Squadra Ospite</t>
  </si>
  <si>
    <t>Esito</t>
  </si>
  <si>
    <t>Leo Proietti</t>
  </si>
  <si>
    <t>Jack</t>
  </si>
  <si>
    <t>Antonella</t>
  </si>
  <si>
    <t>Vito</t>
  </si>
  <si>
    <t>Samuele</t>
  </si>
  <si>
    <t>Valerio</t>
  </si>
  <si>
    <t>Edoardo</t>
  </si>
  <si>
    <t>Tania</t>
  </si>
  <si>
    <t>Pier</t>
  </si>
  <si>
    <t>Alessandra C.</t>
  </si>
  <si>
    <t>Alessandra P.</t>
  </si>
  <si>
    <t>Claudia A.</t>
  </si>
  <si>
    <t>Marco G.</t>
  </si>
  <si>
    <t>Alessio S.</t>
  </si>
  <si>
    <t>Alessio R.</t>
  </si>
  <si>
    <t>Marco P.</t>
  </si>
  <si>
    <t>Khawla</t>
  </si>
  <si>
    <t>Federico R.</t>
  </si>
  <si>
    <t>Claudia S.</t>
  </si>
  <si>
    <t>Leo Policella</t>
  </si>
  <si>
    <t>Maila</t>
  </si>
  <si>
    <t>ESITO</t>
  </si>
  <si>
    <t>Esito previsto</t>
  </si>
  <si>
    <t>Punti</t>
  </si>
  <si>
    <t>Gio 11 giu</t>
  </si>
  <si>
    <t>21:00</t>
  </si>
  <si>
    <t>Girone A</t>
  </si>
  <si>
    <t>Messico</t>
  </si>
  <si>
    <t>Sudafrica</t>
  </si>
  <si>
    <t>X</t>
  </si>
  <si>
    <t>Ven 12 giu</t>
  </si>
  <si>
    <t>04:00</t>
  </si>
  <si>
    <t>Corea del Sud</t>
  </si>
  <si>
    <t>Repubblica Ceca</t>
  </si>
  <si>
    <t>Girone B</t>
  </si>
  <si>
    <t>Canada</t>
  </si>
  <si>
    <t>Bosnia-Erzegovina</t>
  </si>
  <si>
    <t>Sab 13 giu</t>
  </si>
  <si>
    <t>03:00</t>
  </si>
  <si>
    <t>Girone D</t>
  </si>
  <si>
    <t>Stati Uniti</t>
  </si>
  <si>
    <t>Paraguay</t>
  </si>
  <si>
    <t>x</t>
  </si>
  <si>
    <t>Qatar</t>
  </si>
  <si>
    <t>Svizzera</t>
  </si>
  <si>
    <t>Dom 14 giu</t>
  </si>
  <si>
    <t>24:00</t>
  </si>
  <si>
    <t>Girone C</t>
  </si>
  <si>
    <t>Brasile</t>
  </si>
  <si>
    <t>Marocco</t>
  </si>
  <si>
    <t>Haiti</t>
  </si>
  <si>
    <t>Scozia</t>
  </si>
  <si>
    <t>06:00</t>
  </si>
  <si>
    <t>Australia</t>
  </si>
  <si>
    <t>Turchia</t>
  </si>
  <si>
    <t>19:00</t>
  </si>
  <si>
    <t>Girone E</t>
  </si>
  <si>
    <t>Germania</t>
  </si>
  <si>
    <t>Curaçao</t>
  </si>
  <si>
    <t>22:00</t>
  </si>
  <si>
    <t>Girone F</t>
  </si>
  <si>
    <t>Paesi Bassi</t>
  </si>
  <si>
    <t>Giappone</t>
  </si>
  <si>
    <t>Lun 15 giu</t>
  </si>
  <si>
    <t>01:00</t>
  </si>
  <si>
    <t>Costa d'Avorio</t>
  </si>
  <si>
    <t>Ecuador</t>
  </si>
  <si>
    <t>Svezia</t>
  </si>
  <si>
    <t>Tunisia</t>
  </si>
  <si>
    <t>18:00</t>
  </si>
  <si>
    <t>Girone H</t>
  </si>
  <si>
    <t>Spagna</t>
  </si>
  <si>
    <t>Capo Verde</t>
  </si>
  <si>
    <t>Girone G</t>
  </si>
  <si>
    <t>Belgio</t>
  </si>
  <si>
    <t>Egitto</t>
  </si>
  <si>
    <t>Mar 16 giu</t>
  </si>
  <si>
    <t>Arabia Saudita</t>
  </si>
  <si>
    <t>Uruguay</t>
  </si>
  <si>
    <t>Iran</t>
  </si>
  <si>
    <t>Nuova Zelanda</t>
  </si>
  <si>
    <t>Girone I</t>
  </si>
  <si>
    <t>Francia</t>
  </si>
  <si>
    <t>Senegal</t>
  </si>
  <si>
    <t>Mer 17 giu</t>
  </si>
  <si>
    <t>Iraq</t>
  </si>
  <si>
    <t>Norvegia</t>
  </si>
  <si>
    <t>Girone J</t>
  </si>
  <si>
    <t>Argentina</t>
  </si>
  <si>
    <t>Algeria</t>
  </si>
  <si>
    <t>Austria</t>
  </si>
  <si>
    <t>Giordania</t>
  </si>
  <si>
    <t>Girone K</t>
  </si>
  <si>
    <t>Portogallo</t>
  </si>
  <si>
    <t>R. D. del Congo</t>
  </si>
  <si>
    <t>Girone L</t>
  </si>
  <si>
    <t>Inghilterra</t>
  </si>
  <si>
    <t>Croazia</t>
  </si>
  <si>
    <t>Gio 18 giu</t>
  </si>
  <si>
    <t>Ghana</t>
  </si>
  <si>
    <t>Panama</t>
  </si>
  <si>
    <t>Uzbekistan</t>
  </si>
  <si>
    <t>Colombia</t>
  </si>
  <si>
    <t>Ven 19 giu</t>
  </si>
  <si>
    <t>Sab 20 giu</t>
  </si>
  <si>
    <t>02:30</t>
  </si>
  <si>
    <t>05:00</t>
  </si>
  <si>
    <t>Dom 21 giu</t>
  </si>
  <si>
    <t>02:00</t>
  </si>
  <si>
    <t>Lun 22 giu</t>
  </si>
  <si>
    <t>23:00</t>
  </si>
  <si>
    <t>Mar 23 giu</t>
  </si>
  <si>
    <t>Mer 24 giu</t>
  </si>
  <si>
    <t>Gio 25 giu</t>
  </si>
  <si>
    <t>Ven 26 giu</t>
  </si>
  <si>
    <t>Sab 27 giu</t>
  </si>
  <si>
    <t>Dom 28 giu</t>
  </si>
  <si>
    <t>01:30</t>
  </si>
  <si>
    <t>Benvenuti nel Mondialito di IZI S.p.A.!
Questa prima parte del gioco consiste nell'indovinare gli esiti delle partite valevoli per i gironi del mondiale. Per ogni esito indovinato si ottiene un punto. Alla fine dei gironi, il giocatore che avrà totalizzato più punti sarà decretato vincitore della fase a gironi. Per partecipare, non dovete far altro che compilare le vostre previsioni nella rispettiva colonna verde.
LA QUOTA DI ISCRIZIONE È PARI A 5 €, il vincitore prende tutto.
A seguire, una volta definito il tabellone, insieme capiremo come  e se costruire la seconda tappa del gioco.</t>
  </si>
  <si>
    <t>Giocatore</t>
  </si>
  <si>
    <t>🏆 Classifica Mondiali 2026</t>
  </si>
  <si>
    <t>Pos.</t>
  </si>
  <si>
    <t>Andamento</t>
  </si>
  <si>
    <t>🥇 Primo posto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</si>
</sst>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sz val="16.0"/>
      <color theme="1"/>
      <name val="Calibri"/>
    </font>
    <font/>
    <font>
      <color theme="1"/>
      <name val="Calibri"/>
      <scheme val="minor"/>
    </font>
    <font>
      <b/>
      <sz val="14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B6DDE8"/>
        <bgColor rgb="FFB6DDE8"/>
      </patternFill>
    </fill>
    <fill>
      <patternFill patternType="solid">
        <fgColor rgb="FFCCC0D9"/>
        <bgColor rgb="FFCCC0D9"/>
      </patternFill>
    </fill>
    <fill>
      <patternFill patternType="solid">
        <fgColor rgb="FFC2D69B"/>
        <bgColor rgb="FFC2D69B"/>
      </patternFill>
    </fill>
    <fill>
      <patternFill patternType="solid">
        <fgColor rgb="FFFABF8F"/>
        <bgColor rgb="FFFABF8F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center"/>
    </xf>
    <xf borderId="1" fillId="0" fontId="1" numFmtId="0" xfId="0" applyAlignment="1" applyBorder="1" applyFont="1">
      <alignment vertical="center"/>
    </xf>
    <xf borderId="1" fillId="0" fontId="2" numFmtId="0" xfId="0" applyAlignment="1" applyBorder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1" fillId="0" fontId="2" numFmtId="20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2" fillId="0" fontId="3" numFmtId="0" xfId="0" applyAlignment="1" applyBorder="1" applyFont="1">
      <alignment horizontal="center" shrinkToFit="0" vertical="center" wrapText="1"/>
    </xf>
    <xf borderId="3" fillId="0" fontId="4" numFmtId="0" xfId="0" applyBorder="1" applyFont="1"/>
    <xf borderId="4" fillId="0" fontId="4" numFmtId="0" xfId="0" applyBorder="1" applyFont="1"/>
    <xf borderId="5" fillId="0" fontId="4" numFmtId="0" xfId="0" applyBorder="1" applyFont="1"/>
    <xf borderId="6" fillId="0" fontId="4" numFmtId="0" xfId="0" applyBorder="1" applyFont="1"/>
    <xf borderId="7" fillId="0" fontId="4" numFmtId="0" xfId="0" applyBorder="1" applyFont="1"/>
    <xf borderId="8" fillId="0" fontId="4" numFmtId="0" xfId="0" applyBorder="1" applyFont="1"/>
    <xf borderId="9" fillId="0" fontId="4" numFmtId="0" xfId="0" applyBorder="1" applyFont="1"/>
    <xf borderId="0" fillId="0" fontId="5" numFmtId="0" xfId="0" applyFont="1"/>
    <xf borderId="0" fillId="0" fontId="6" numFmtId="0" xfId="0" applyAlignment="1" applyFont="1">
      <alignment horizontal="center" vertical="center"/>
    </xf>
    <xf borderId="1" fillId="0" fontId="2" numFmtId="0" xfId="0" applyAlignment="1" applyBorder="1" applyFon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0"/>
    <col customWidth="1" min="2" max="2" width="14.0"/>
    <col customWidth="1" min="3" max="3" width="13.0"/>
    <col customWidth="1" min="4" max="4" width="12.57"/>
    <col customWidth="1" min="5" max="6" width="20.0"/>
    <col customWidth="1" min="7" max="7" width="11.86"/>
    <col customWidth="1" min="8" max="49" width="13.0"/>
  </cols>
  <sheetData>
    <row r="1" ht="21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>
        <f>SUM(I3:I74)</f>
        <v>5</v>
      </c>
      <c r="J1" s="2" t="s">
        <v>8</v>
      </c>
      <c r="K1" s="1">
        <f>SUM(K3:K74)</f>
        <v>3</v>
      </c>
      <c r="L1" s="2" t="s">
        <v>9</v>
      </c>
      <c r="M1" s="1">
        <f>SUM(M3:M74)</f>
        <v>9</v>
      </c>
      <c r="N1" s="2" t="s">
        <v>10</v>
      </c>
      <c r="O1" s="1">
        <f>SUM(O3:O74)</f>
        <v>5</v>
      </c>
      <c r="P1" s="2" t="s">
        <v>11</v>
      </c>
      <c r="Q1" s="1">
        <f>SUM(Q3:Q74)</f>
        <v>8</v>
      </c>
      <c r="R1" s="2" t="s">
        <v>12</v>
      </c>
      <c r="S1" s="1">
        <f>SUM(S3:S74)</f>
        <v>4</v>
      </c>
      <c r="T1" s="2" t="s">
        <v>13</v>
      </c>
      <c r="U1" s="1">
        <f>SUM(U3:U74)</f>
        <v>4</v>
      </c>
      <c r="V1" s="2" t="s">
        <v>14</v>
      </c>
      <c r="W1" s="1">
        <f>SUM(W3:W74)</f>
        <v>6</v>
      </c>
      <c r="X1" s="2" t="s">
        <v>15</v>
      </c>
      <c r="Y1" s="1">
        <f>SUM(Y3:Y74)</f>
        <v>2</v>
      </c>
      <c r="Z1" s="2" t="s">
        <v>16</v>
      </c>
      <c r="AA1" s="1">
        <f>SUM(AA3:AA74)</f>
        <v>4</v>
      </c>
      <c r="AB1" s="2" t="s">
        <v>17</v>
      </c>
      <c r="AC1" s="1">
        <f>SUM(AC3:AC74)</f>
        <v>5</v>
      </c>
      <c r="AD1" s="2" t="s">
        <v>18</v>
      </c>
      <c r="AE1" s="1">
        <f>SUM(AE3:AE74)</f>
        <v>9</v>
      </c>
      <c r="AF1" s="2" t="s">
        <v>19</v>
      </c>
      <c r="AG1" s="1">
        <f>SUM(AG3:AG74)</f>
        <v>4</v>
      </c>
      <c r="AH1" s="2" t="s">
        <v>20</v>
      </c>
      <c r="AI1" s="1">
        <f>SUM(AI3:AI74)</f>
        <v>3</v>
      </c>
      <c r="AJ1" s="2" t="s">
        <v>21</v>
      </c>
      <c r="AK1" s="1">
        <f>SUM(AK3:AK74)</f>
        <v>4</v>
      </c>
      <c r="AL1" s="2" t="s">
        <v>22</v>
      </c>
      <c r="AM1" s="1">
        <f>SUM(AM3:AM74)</f>
        <v>6</v>
      </c>
      <c r="AN1" s="2" t="s">
        <v>23</v>
      </c>
      <c r="AO1" s="1">
        <f>SUM(AO3:AO74)</f>
        <v>1</v>
      </c>
      <c r="AP1" s="2" t="s">
        <v>24</v>
      </c>
      <c r="AQ1" s="1">
        <f>SUM(AQ3:AQ74)</f>
        <v>0</v>
      </c>
      <c r="AR1" s="2" t="s">
        <v>25</v>
      </c>
      <c r="AS1" s="1">
        <f>SUM(AS3:AS74)</f>
        <v>0</v>
      </c>
      <c r="AT1" s="2" t="s">
        <v>26</v>
      </c>
      <c r="AU1" s="1">
        <f>SUM(AU3:AU74)</f>
        <v>1</v>
      </c>
      <c r="AV1" s="2" t="s">
        <v>27</v>
      </c>
      <c r="AW1" s="1">
        <f>SUM(AW3:AW74)</f>
        <v>4</v>
      </c>
    </row>
    <row r="2" ht="21.75" customHeight="1">
      <c r="A2" s="1"/>
      <c r="B2" s="1"/>
      <c r="C2" s="1"/>
      <c r="D2" s="1"/>
      <c r="E2" s="1"/>
      <c r="F2" s="1"/>
      <c r="G2" s="1" t="s">
        <v>28</v>
      </c>
      <c r="H2" s="1" t="s">
        <v>29</v>
      </c>
      <c r="I2" s="1" t="s">
        <v>30</v>
      </c>
      <c r="J2" s="1" t="s">
        <v>29</v>
      </c>
      <c r="K2" s="1" t="s">
        <v>30</v>
      </c>
      <c r="L2" s="1" t="s">
        <v>29</v>
      </c>
      <c r="M2" s="1" t="s">
        <v>30</v>
      </c>
      <c r="N2" s="1" t="s">
        <v>29</v>
      </c>
      <c r="O2" s="1" t="s">
        <v>30</v>
      </c>
      <c r="P2" s="1" t="s">
        <v>29</v>
      </c>
      <c r="Q2" s="1" t="s">
        <v>30</v>
      </c>
      <c r="R2" s="1" t="s">
        <v>29</v>
      </c>
      <c r="S2" s="1" t="s">
        <v>30</v>
      </c>
      <c r="T2" s="1" t="s">
        <v>29</v>
      </c>
      <c r="U2" s="1" t="s">
        <v>30</v>
      </c>
      <c r="V2" s="1" t="s">
        <v>29</v>
      </c>
      <c r="W2" s="1" t="s">
        <v>30</v>
      </c>
      <c r="X2" s="1" t="s">
        <v>29</v>
      </c>
      <c r="Y2" s="1" t="s">
        <v>30</v>
      </c>
      <c r="Z2" s="1" t="s">
        <v>29</v>
      </c>
      <c r="AA2" s="1" t="s">
        <v>30</v>
      </c>
      <c r="AB2" s="1" t="s">
        <v>29</v>
      </c>
      <c r="AC2" s="1" t="s">
        <v>30</v>
      </c>
      <c r="AD2" s="1" t="s">
        <v>29</v>
      </c>
      <c r="AE2" s="1" t="s">
        <v>30</v>
      </c>
      <c r="AF2" s="1" t="s">
        <v>29</v>
      </c>
      <c r="AG2" s="1" t="s">
        <v>30</v>
      </c>
      <c r="AH2" s="1" t="s">
        <v>29</v>
      </c>
      <c r="AI2" s="1" t="s">
        <v>30</v>
      </c>
      <c r="AJ2" s="1" t="s">
        <v>29</v>
      </c>
      <c r="AK2" s="1" t="s">
        <v>30</v>
      </c>
      <c r="AL2" s="1" t="s">
        <v>29</v>
      </c>
      <c r="AM2" s="1" t="s">
        <v>30</v>
      </c>
      <c r="AN2" s="1" t="s">
        <v>29</v>
      </c>
      <c r="AO2" s="1" t="s">
        <v>30</v>
      </c>
      <c r="AP2" s="1" t="s">
        <v>29</v>
      </c>
      <c r="AQ2" s="1" t="s">
        <v>30</v>
      </c>
      <c r="AR2" s="1" t="s">
        <v>29</v>
      </c>
      <c r="AS2" s="1" t="s">
        <v>30</v>
      </c>
      <c r="AT2" s="1" t="s">
        <v>29</v>
      </c>
      <c r="AU2" s="1" t="s">
        <v>30</v>
      </c>
      <c r="AV2" s="1" t="s">
        <v>29</v>
      </c>
      <c r="AW2" s="1" t="s">
        <v>30</v>
      </c>
    </row>
    <row r="3" ht="18.0" customHeight="1">
      <c r="A3" s="3">
        <v>1.0</v>
      </c>
      <c r="B3" s="3" t="s">
        <v>31</v>
      </c>
      <c r="C3" s="3" t="s">
        <v>32</v>
      </c>
      <c r="D3" s="1" t="s">
        <v>33</v>
      </c>
      <c r="E3" s="4" t="s">
        <v>34</v>
      </c>
      <c r="F3" s="4" t="s">
        <v>35</v>
      </c>
      <c r="G3" s="5"/>
      <c r="H3" s="6">
        <v>1.0</v>
      </c>
      <c r="I3" s="7" t="str">
        <f t="shared" ref="I3:I74" si="1">IF($G3&lt;&gt;"",IF(H3=$G3,1,0),"")</f>
        <v/>
      </c>
      <c r="J3" s="6">
        <v>1.0</v>
      </c>
      <c r="K3" s="7" t="str">
        <f t="shared" ref="K3:K74" si="2">IF($G3&lt;&gt;"",IF(J3=$G3,1,0),"")</f>
        <v/>
      </c>
      <c r="L3" s="6">
        <v>1.0</v>
      </c>
      <c r="M3" s="7" t="str">
        <f t="shared" ref="M3:M74" si="3">IF($G3&lt;&gt;"",IF(L3=$G3,1,0),"")</f>
        <v/>
      </c>
      <c r="N3" s="6" t="s">
        <v>36</v>
      </c>
      <c r="O3" s="7" t="str">
        <f t="shared" ref="O3:O74" si="4">IF($G3&lt;&gt;"",IF(N3=$G3,1,0),"")</f>
        <v/>
      </c>
      <c r="P3" s="6">
        <v>1.0</v>
      </c>
      <c r="Q3" s="7" t="str">
        <f t="shared" ref="Q3:Q74" si="5">IF($G3&lt;&gt;"",IF(P3=$G3,1,0),"")</f>
        <v/>
      </c>
      <c r="R3" s="6">
        <v>1.0</v>
      </c>
      <c r="S3" s="7" t="str">
        <f t="shared" ref="S3:S74" si="6">IF($G3&lt;&gt;"",IF(R3=$G3,1,0),"")</f>
        <v/>
      </c>
      <c r="T3" s="6">
        <v>1.0</v>
      </c>
      <c r="U3" s="7" t="str">
        <f t="shared" ref="U3:U74" si="7">IF($G3&lt;&gt;"",IF(T3=$G3,1,0),"")</f>
        <v/>
      </c>
      <c r="V3" s="6">
        <v>1.0</v>
      </c>
      <c r="W3" s="7" t="str">
        <f t="shared" ref="W3:W74" si="8">IF($G3&lt;&gt;"",IF(V3=$G3,1,0),"")</f>
        <v/>
      </c>
      <c r="X3" s="6">
        <v>1.0</v>
      </c>
      <c r="Y3" s="7" t="str">
        <f t="shared" ref="Y3:Y74" si="9">IF($G3&lt;&gt;"",IF(X3=$G3,1,0),"")</f>
        <v/>
      </c>
      <c r="Z3" s="6" t="s">
        <v>36</v>
      </c>
      <c r="AA3" s="7" t="str">
        <f t="shared" ref="AA3:AA74" si="10">IF($G3&lt;&gt;"",IF(Z3=$G3,1,0),"")</f>
        <v/>
      </c>
      <c r="AB3" s="6" t="s">
        <v>36</v>
      </c>
      <c r="AC3" s="7" t="str">
        <f t="shared" ref="AC3:AC74" si="11">IF($G3&lt;&gt;"",IF(AB3=$G3,1,0),"")</f>
        <v/>
      </c>
      <c r="AD3" s="6">
        <v>1.0</v>
      </c>
      <c r="AE3" s="7" t="str">
        <f t="shared" ref="AE3:AE74" si="12">IF($G3&lt;&gt;"",IF(AD3=$G3,1,0),"")</f>
        <v/>
      </c>
      <c r="AF3" s="6">
        <v>2.0</v>
      </c>
      <c r="AG3" s="7" t="str">
        <f t="shared" ref="AG3:AG74" si="13">IF($G3&lt;&gt;"",IF(AF3=$G3,1,0),"")</f>
        <v/>
      </c>
      <c r="AH3" s="6">
        <v>1.0</v>
      </c>
      <c r="AI3" s="7" t="str">
        <f t="shared" ref="AI3:AI74" si="14">IF($G3&lt;&gt;"",IF(AH3=$G3,1,0),"")</f>
        <v/>
      </c>
      <c r="AJ3" s="6">
        <v>1.0</v>
      </c>
      <c r="AK3" s="7" t="str">
        <f t="shared" ref="AK3:AK74" si="15">IF($G3&lt;&gt;"",IF(AJ3=$G3,1,0),"")</f>
        <v/>
      </c>
      <c r="AL3" s="6">
        <v>1.0</v>
      </c>
      <c r="AM3" s="7" t="str">
        <f t="shared" ref="AM3:AM74" si="16">IF($G3&lt;&gt;"",IF(AL3=$G3,1,0),"")</f>
        <v/>
      </c>
      <c r="AN3" s="6">
        <v>1.0</v>
      </c>
      <c r="AO3" s="7" t="str">
        <f t="shared" ref="AO3:AO74" si="17">IF($G3&lt;&gt;"",IF(AN3=$G3,1,0),"")</f>
        <v/>
      </c>
      <c r="AP3" s="6">
        <v>1.0</v>
      </c>
      <c r="AQ3" s="7" t="str">
        <f t="shared" ref="AQ3:AQ74" si="18">IF($G3&lt;&gt;"",IF(AP3=$G3,1,0),"")</f>
        <v/>
      </c>
      <c r="AR3" s="6">
        <v>1.0</v>
      </c>
      <c r="AS3" s="7" t="str">
        <f t="shared" ref="AS3:AS74" si="19">IF($G3&lt;&gt;"",IF(AR3=$G3,1,0),"")</f>
        <v/>
      </c>
      <c r="AT3" s="6">
        <v>1.0</v>
      </c>
      <c r="AU3" s="7" t="str">
        <f t="shared" ref="AU3:AU74" si="20">IF($G3&lt;&gt;"",IF(AT3=$G3,1,0),"")</f>
        <v/>
      </c>
      <c r="AV3" s="6">
        <v>1.0</v>
      </c>
      <c r="AW3" s="7" t="str">
        <f t="shared" ref="AW3:AW74" si="21">IF($G3&lt;&gt;"",IF(AV3=$G3,1,0),"")</f>
        <v/>
      </c>
    </row>
    <row r="4" ht="18.0" customHeight="1">
      <c r="A4" s="3">
        <v>2.0</v>
      </c>
      <c r="B4" s="3" t="s">
        <v>37</v>
      </c>
      <c r="C4" s="3" t="s">
        <v>38</v>
      </c>
      <c r="D4" s="1" t="s">
        <v>33</v>
      </c>
      <c r="E4" s="4" t="s">
        <v>39</v>
      </c>
      <c r="F4" s="4" t="s">
        <v>40</v>
      </c>
      <c r="G4" s="5" t="s">
        <v>36</v>
      </c>
      <c r="H4" s="6">
        <v>1.0</v>
      </c>
      <c r="I4" s="7">
        <f t="shared" si="1"/>
        <v>0</v>
      </c>
      <c r="J4" s="6">
        <v>2.0</v>
      </c>
      <c r="K4" s="7">
        <f t="shared" si="2"/>
        <v>0</v>
      </c>
      <c r="L4" s="6">
        <v>2.0</v>
      </c>
      <c r="M4" s="7">
        <f t="shared" si="3"/>
        <v>0</v>
      </c>
      <c r="N4" s="6">
        <v>2.0</v>
      </c>
      <c r="O4" s="7">
        <f t="shared" si="4"/>
        <v>0</v>
      </c>
      <c r="P4" s="6" t="s">
        <v>36</v>
      </c>
      <c r="Q4" s="7">
        <f t="shared" si="5"/>
        <v>1</v>
      </c>
      <c r="R4" s="6" t="s">
        <v>36</v>
      </c>
      <c r="S4" s="7">
        <f t="shared" si="6"/>
        <v>1</v>
      </c>
      <c r="T4" s="6" t="s">
        <v>36</v>
      </c>
      <c r="U4" s="7">
        <f t="shared" si="7"/>
        <v>1</v>
      </c>
      <c r="V4" s="6" t="s">
        <v>36</v>
      </c>
      <c r="W4" s="7">
        <f t="shared" si="8"/>
        <v>1</v>
      </c>
      <c r="X4" s="6">
        <v>1.0</v>
      </c>
      <c r="Y4" s="7">
        <f t="shared" si="9"/>
        <v>0</v>
      </c>
      <c r="Z4" s="6">
        <v>2.0</v>
      </c>
      <c r="AA4" s="7">
        <f t="shared" si="10"/>
        <v>0</v>
      </c>
      <c r="AB4" s="6">
        <v>1.0</v>
      </c>
      <c r="AC4" s="7">
        <f t="shared" si="11"/>
        <v>0</v>
      </c>
      <c r="AD4" s="6">
        <v>2.0</v>
      </c>
      <c r="AE4" s="7">
        <f t="shared" si="12"/>
        <v>0</v>
      </c>
      <c r="AF4" s="6">
        <v>1.0</v>
      </c>
      <c r="AG4" s="7">
        <f t="shared" si="13"/>
        <v>0</v>
      </c>
      <c r="AH4" s="6" t="s">
        <v>36</v>
      </c>
      <c r="AI4" s="7">
        <f t="shared" si="14"/>
        <v>1</v>
      </c>
      <c r="AJ4" s="6">
        <v>1.0</v>
      </c>
      <c r="AK4" s="7">
        <f t="shared" si="15"/>
        <v>0</v>
      </c>
      <c r="AL4" s="6">
        <v>1.0</v>
      </c>
      <c r="AM4" s="7">
        <f t="shared" si="16"/>
        <v>0</v>
      </c>
      <c r="AN4" s="6">
        <v>1.0</v>
      </c>
      <c r="AO4" s="7">
        <f t="shared" si="17"/>
        <v>0</v>
      </c>
      <c r="AP4" s="6">
        <v>1.0</v>
      </c>
      <c r="AQ4" s="7">
        <f t="shared" si="18"/>
        <v>0</v>
      </c>
      <c r="AR4" s="6">
        <v>2.0</v>
      </c>
      <c r="AS4" s="7">
        <f t="shared" si="19"/>
        <v>0</v>
      </c>
      <c r="AT4" s="6" t="s">
        <v>36</v>
      </c>
      <c r="AU4" s="7">
        <f t="shared" si="20"/>
        <v>1</v>
      </c>
      <c r="AV4" s="6">
        <v>2.0</v>
      </c>
      <c r="AW4" s="7">
        <f t="shared" si="21"/>
        <v>0</v>
      </c>
    </row>
    <row r="5" ht="18.0" customHeight="1">
      <c r="A5" s="3">
        <v>3.0</v>
      </c>
      <c r="B5" s="3" t="s">
        <v>37</v>
      </c>
      <c r="C5" s="3" t="s">
        <v>32</v>
      </c>
      <c r="D5" s="1" t="s">
        <v>41</v>
      </c>
      <c r="E5" s="4" t="s">
        <v>42</v>
      </c>
      <c r="F5" s="4" t="s">
        <v>43</v>
      </c>
      <c r="G5" s="5" t="s">
        <v>36</v>
      </c>
      <c r="H5" s="6" t="s">
        <v>36</v>
      </c>
      <c r="I5" s="7">
        <f t="shared" si="1"/>
        <v>1</v>
      </c>
      <c r="J5" s="6" t="s">
        <v>36</v>
      </c>
      <c r="K5" s="7">
        <f t="shared" si="2"/>
        <v>1</v>
      </c>
      <c r="L5" s="6" t="s">
        <v>36</v>
      </c>
      <c r="M5" s="7">
        <f t="shared" si="3"/>
        <v>1</v>
      </c>
      <c r="N5" s="6">
        <v>2.0</v>
      </c>
      <c r="O5" s="7">
        <f t="shared" si="4"/>
        <v>0</v>
      </c>
      <c r="P5" s="6">
        <v>1.0</v>
      </c>
      <c r="Q5" s="7">
        <f t="shared" si="5"/>
        <v>0</v>
      </c>
      <c r="R5" s="6">
        <v>2.0</v>
      </c>
      <c r="S5" s="7">
        <f t="shared" si="6"/>
        <v>0</v>
      </c>
      <c r="T5" s="6">
        <v>1.0</v>
      </c>
      <c r="U5" s="7">
        <f t="shared" si="7"/>
        <v>0</v>
      </c>
      <c r="V5" s="6">
        <v>1.0</v>
      </c>
      <c r="W5" s="7">
        <f t="shared" si="8"/>
        <v>0</v>
      </c>
      <c r="X5" s="6">
        <v>1.0</v>
      </c>
      <c r="Y5" s="7">
        <f t="shared" si="9"/>
        <v>0</v>
      </c>
      <c r="Z5" s="6">
        <v>1.0</v>
      </c>
      <c r="AA5" s="7">
        <f t="shared" si="10"/>
        <v>0</v>
      </c>
      <c r="AB5" s="6">
        <v>1.0</v>
      </c>
      <c r="AC5" s="7">
        <f t="shared" si="11"/>
        <v>0</v>
      </c>
      <c r="AD5" s="6">
        <v>1.0</v>
      </c>
      <c r="AE5" s="7">
        <f t="shared" si="12"/>
        <v>0</v>
      </c>
      <c r="AF5" s="6">
        <v>2.0</v>
      </c>
      <c r="AG5" s="7">
        <f t="shared" si="13"/>
        <v>0</v>
      </c>
      <c r="AH5" s="6">
        <v>1.0</v>
      </c>
      <c r="AI5" s="7">
        <f t="shared" si="14"/>
        <v>0</v>
      </c>
      <c r="AJ5" s="6">
        <v>1.0</v>
      </c>
      <c r="AK5" s="7">
        <f t="shared" si="15"/>
        <v>0</v>
      </c>
      <c r="AL5" s="6">
        <v>2.0</v>
      </c>
      <c r="AM5" s="7">
        <f t="shared" si="16"/>
        <v>0</v>
      </c>
      <c r="AN5" s="6">
        <v>1.0</v>
      </c>
      <c r="AO5" s="7">
        <f t="shared" si="17"/>
        <v>0</v>
      </c>
      <c r="AP5" s="6">
        <v>1.0</v>
      </c>
      <c r="AQ5" s="7">
        <f t="shared" si="18"/>
        <v>0</v>
      </c>
      <c r="AR5" s="6">
        <v>1.0</v>
      </c>
      <c r="AS5" s="7">
        <f t="shared" si="19"/>
        <v>0</v>
      </c>
      <c r="AT5" s="6">
        <v>2.0</v>
      </c>
      <c r="AU5" s="7">
        <f t="shared" si="20"/>
        <v>0</v>
      </c>
      <c r="AV5" s="6">
        <v>2.0</v>
      </c>
      <c r="AW5" s="7">
        <f t="shared" si="21"/>
        <v>0</v>
      </c>
    </row>
    <row r="6" ht="18.0" customHeight="1">
      <c r="A6" s="3">
        <v>4.0</v>
      </c>
      <c r="B6" s="3" t="s">
        <v>44</v>
      </c>
      <c r="C6" s="3" t="s">
        <v>45</v>
      </c>
      <c r="D6" s="1" t="s">
        <v>46</v>
      </c>
      <c r="E6" s="4" t="s">
        <v>47</v>
      </c>
      <c r="F6" s="4" t="s">
        <v>48</v>
      </c>
      <c r="G6" s="5" t="s">
        <v>36</v>
      </c>
      <c r="H6" s="6" t="s">
        <v>36</v>
      </c>
      <c r="I6" s="7">
        <f t="shared" si="1"/>
        <v>1</v>
      </c>
      <c r="J6" s="6">
        <v>1.0</v>
      </c>
      <c r="K6" s="7">
        <f t="shared" si="2"/>
        <v>0</v>
      </c>
      <c r="L6" s="6">
        <v>1.0</v>
      </c>
      <c r="M6" s="7">
        <f t="shared" si="3"/>
        <v>0</v>
      </c>
      <c r="N6" s="6">
        <v>1.0</v>
      </c>
      <c r="O6" s="7">
        <f t="shared" si="4"/>
        <v>0</v>
      </c>
      <c r="P6" s="6" t="s">
        <v>36</v>
      </c>
      <c r="Q6" s="7">
        <f t="shared" si="5"/>
        <v>1</v>
      </c>
      <c r="R6" s="6">
        <v>1.0</v>
      </c>
      <c r="S6" s="7">
        <f t="shared" si="6"/>
        <v>0</v>
      </c>
      <c r="T6" s="6" t="s">
        <v>36</v>
      </c>
      <c r="U6" s="7">
        <f t="shared" si="7"/>
        <v>1</v>
      </c>
      <c r="V6" s="6">
        <v>1.0</v>
      </c>
      <c r="W6" s="7">
        <f t="shared" si="8"/>
        <v>0</v>
      </c>
      <c r="X6" s="6">
        <v>1.0</v>
      </c>
      <c r="Y6" s="7">
        <f t="shared" si="9"/>
        <v>0</v>
      </c>
      <c r="Z6" s="6" t="s">
        <v>36</v>
      </c>
      <c r="AA6" s="7">
        <f t="shared" si="10"/>
        <v>1</v>
      </c>
      <c r="AB6" s="6" t="s">
        <v>36</v>
      </c>
      <c r="AC6" s="7">
        <f t="shared" si="11"/>
        <v>1</v>
      </c>
      <c r="AD6" s="6">
        <v>1.0</v>
      </c>
      <c r="AE6" s="7">
        <f t="shared" si="12"/>
        <v>0</v>
      </c>
      <c r="AF6" s="6" t="s">
        <v>49</v>
      </c>
      <c r="AG6" s="7">
        <f t="shared" si="13"/>
        <v>1</v>
      </c>
      <c r="AH6" s="6">
        <v>1.0</v>
      </c>
      <c r="AI6" s="7">
        <f t="shared" si="14"/>
        <v>0</v>
      </c>
      <c r="AJ6" s="6">
        <v>1.0</v>
      </c>
      <c r="AK6" s="7">
        <f t="shared" si="15"/>
        <v>0</v>
      </c>
      <c r="AL6" s="6" t="s">
        <v>36</v>
      </c>
      <c r="AM6" s="7">
        <f t="shared" si="16"/>
        <v>1</v>
      </c>
      <c r="AN6" s="6">
        <v>1.0</v>
      </c>
      <c r="AO6" s="7">
        <f t="shared" si="17"/>
        <v>0</v>
      </c>
      <c r="AP6" s="6">
        <v>1.0</v>
      </c>
      <c r="AQ6" s="7">
        <f t="shared" si="18"/>
        <v>0</v>
      </c>
      <c r="AR6" s="6">
        <v>1.0</v>
      </c>
      <c r="AS6" s="7">
        <f t="shared" si="19"/>
        <v>0</v>
      </c>
      <c r="AT6" s="6">
        <v>2.0</v>
      </c>
      <c r="AU6" s="7">
        <f t="shared" si="20"/>
        <v>0</v>
      </c>
      <c r="AV6" s="6" t="s">
        <v>36</v>
      </c>
      <c r="AW6" s="7">
        <f t="shared" si="21"/>
        <v>1</v>
      </c>
    </row>
    <row r="7" ht="18.0" customHeight="1">
      <c r="A7" s="3">
        <v>5.0</v>
      </c>
      <c r="B7" s="3" t="s">
        <v>44</v>
      </c>
      <c r="C7" s="3" t="s">
        <v>32</v>
      </c>
      <c r="D7" s="1" t="s">
        <v>41</v>
      </c>
      <c r="E7" s="4" t="s">
        <v>50</v>
      </c>
      <c r="F7" s="4" t="s">
        <v>51</v>
      </c>
      <c r="G7" s="5" t="s">
        <v>36</v>
      </c>
      <c r="H7" s="6">
        <v>2.0</v>
      </c>
      <c r="I7" s="7">
        <f t="shared" si="1"/>
        <v>0</v>
      </c>
      <c r="J7" s="6">
        <v>2.0</v>
      </c>
      <c r="K7" s="7">
        <f t="shared" si="2"/>
        <v>0</v>
      </c>
      <c r="L7" s="6">
        <v>1.0</v>
      </c>
      <c r="M7" s="7">
        <f t="shared" si="3"/>
        <v>0</v>
      </c>
      <c r="N7" s="6">
        <v>2.0</v>
      </c>
      <c r="O7" s="7">
        <f t="shared" si="4"/>
        <v>0</v>
      </c>
      <c r="P7" s="6">
        <v>2.0</v>
      </c>
      <c r="Q7" s="7">
        <f t="shared" si="5"/>
        <v>0</v>
      </c>
      <c r="R7" s="6">
        <v>2.0</v>
      </c>
      <c r="S7" s="7">
        <f t="shared" si="6"/>
        <v>0</v>
      </c>
      <c r="T7" s="6">
        <v>2.0</v>
      </c>
      <c r="U7" s="7">
        <f t="shared" si="7"/>
        <v>0</v>
      </c>
      <c r="V7" s="6">
        <v>2.0</v>
      </c>
      <c r="W7" s="7">
        <f t="shared" si="8"/>
        <v>0</v>
      </c>
      <c r="X7" s="6">
        <v>2.0</v>
      </c>
      <c r="Y7" s="7">
        <f t="shared" si="9"/>
        <v>0</v>
      </c>
      <c r="Z7" s="6">
        <v>1.0</v>
      </c>
      <c r="AA7" s="7">
        <f t="shared" si="10"/>
        <v>0</v>
      </c>
      <c r="AB7" s="6">
        <v>2.0</v>
      </c>
      <c r="AC7" s="7">
        <f t="shared" si="11"/>
        <v>0</v>
      </c>
      <c r="AD7" s="6" t="s">
        <v>36</v>
      </c>
      <c r="AE7" s="7">
        <f t="shared" si="12"/>
        <v>1</v>
      </c>
      <c r="AF7" s="6">
        <v>2.0</v>
      </c>
      <c r="AG7" s="7">
        <f t="shared" si="13"/>
        <v>0</v>
      </c>
      <c r="AH7" s="6">
        <v>2.0</v>
      </c>
      <c r="AI7" s="7">
        <f t="shared" si="14"/>
        <v>0</v>
      </c>
      <c r="AJ7" s="6">
        <v>2.0</v>
      </c>
      <c r="AK7" s="7">
        <f t="shared" si="15"/>
        <v>0</v>
      </c>
      <c r="AL7" s="6">
        <v>2.0</v>
      </c>
      <c r="AM7" s="7">
        <f t="shared" si="16"/>
        <v>0</v>
      </c>
      <c r="AN7" s="6">
        <v>2.0</v>
      </c>
      <c r="AO7" s="7">
        <f t="shared" si="17"/>
        <v>0</v>
      </c>
      <c r="AP7" s="6">
        <v>2.0</v>
      </c>
      <c r="AQ7" s="7">
        <f t="shared" si="18"/>
        <v>0</v>
      </c>
      <c r="AR7" s="6">
        <v>2.0</v>
      </c>
      <c r="AS7" s="7">
        <f t="shared" si="19"/>
        <v>0</v>
      </c>
      <c r="AT7" s="6">
        <v>2.0</v>
      </c>
      <c r="AU7" s="7">
        <f t="shared" si="20"/>
        <v>0</v>
      </c>
      <c r="AV7" s="6">
        <v>2.0</v>
      </c>
      <c r="AW7" s="7">
        <f t="shared" si="21"/>
        <v>0</v>
      </c>
    </row>
    <row r="8" ht="18.0" customHeight="1">
      <c r="A8" s="3">
        <v>6.0</v>
      </c>
      <c r="B8" s="3" t="s">
        <v>52</v>
      </c>
      <c r="C8" s="3" t="s">
        <v>53</v>
      </c>
      <c r="D8" s="1" t="s">
        <v>54</v>
      </c>
      <c r="E8" s="4" t="s">
        <v>55</v>
      </c>
      <c r="F8" s="4" t="s">
        <v>56</v>
      </c>
      <c r="G8" s="5" t="s">
        <v>36</v>
      </c>
      <c r="H8" s="6">
        <v>1.0</v>
      </c>
      <c r="I8" s="7">
        <f t="shared" si="1"/>
        <v>0</v>
      </c>
      <c r="J8" s="6">
        <v>1.0</v>
      </c>
      <c r="K8" s="7">
        <f t="shared" si="2"/>
        <v>0</v>
      </c>
      <c r="L8" s="6">
        <v>1.0</v>
      </c>
      <c r="M8" s="7">
        <f t="shared" si="3"/>
        <v>0</v>
      </c>
      <c r="N8" s="6" t="s">
        <v>36</v>
      </c>
      <c r="O8" s="7">
        <f t="shared" si="4"/>
        <v>1</v>
      </c>
      <c r="P8" s="6" t="s">
        <v>36</v>
      </c>
      <c r="Q8" s="7">
        <f t="shared" si="5"/>
        <v>1</v>
      </c>
      <c r="R8" s="6" t="s">
        <v>36</v>
      </c>
      <c r="S8" s="7">
        <f t="shared" si="6"/>
        <v>1</v>
      </c>
      <c r="T8" s="6">
        <v>1.0</v>
      </c>
      <c r="U8" s="7">
        <f t="shared" si="7"/>
        <v>0</v>
      </c>
      <c r="V8" s="6" t="s">
        <v>36</v>
      </c>
      <c r="W8" s="7">
        <f t="shared" si="8"/>
        <v>1</v>
      </c>
      <c r="X8" s="6" t="s">
        <v>36</v>
      </c>
      <c r="Y8" s="7">
        <f t="shared" si="9"/>
        <v>1</v>
      </c>
      <c r="Z8" s="6">
        <v>1.0</v>
      </c>
      <c r="AA8" s="7">
        <f t="shared" si="10"/>
        <v>0</v>
      </c>
      <c r="AB8" s="6" t="s">
        <v>36</v>
      </c>
      <c r="AC8" s="7">
        <f t="shared" si="11"/>
        <v>1</v>
      </c>
      <c r="AD8" s="6">
        <v>1.0</v>
      </c>
      <c r="AE8" s="7">
        <f t="shared" si="12"/>
        <v>0</v>
      </c>
      <c r="AF8" s="6">
        <v>1.0</v>
      </c>
      <c r="AG8" s="7">
        <f t="shared" si="13"/>
        <v>0</v>
      </c>
      <c r="AH8" s="6">
        <v>1.0</v>
      </c>
      <c r="AI8" s="7">
        <f t="shared" si="14"/>
        <v>0</v>
      </c>
      <c r="AJ8" s="6" t="s">
        <v>36</v>
      </c>
      <c r="AK8" s="7">
        <f t="shared" si="15"/>
        <v>1</v>
      </c>
      <c r="AL8" s="6" t="s">
        <v>36</v>
      </c>
      <c r="AM8" s="7">
        <f t="shared" si="16"/>
        <v>1</v>
      </c>
      <c r="AN8" s="6">
        <v>1.0</v>
      </c>
      <c r="AO8" s="7">
        <f t="shared" si="17"/>
        <v>0</v>
      </c>
      <c r="AP8" s="6">
        <v>1.0</v>
      </c>
      <c r="AQ8" s="7">
        <f t="shared" si="18"/>
        <v>0</v>
      </c>
      <c r="AR8" s="6">
        <v>1.0</v>
      </c>
      <c r="AS8" s="7">
        <f t="shared" si="19"/>
        <v>0</v>
      </c>
      <c r="AT8" s="6">
        <v>1.0</v>
      </c>
      <c r="AU8" s="7">
        <f t="shared" si="20"/>
        <v>0</v>
      </c>
      <c r="AV8" s="6">
        <v>1.0</v>
      </c>
      <c r="AW8" s="7">
        <f t="shared" si="21"/>
        <v>0</v>
      </c>
    </row>
    <row r="9" ht="18.0" customHeight="1">
      <c r="A9" s="3">
        <v>7.0</v>
      </c>
      <c r="B9" s="3" t="s">
        <v>52</v>
      </c>
      <c r="C9" s="3" t="s">
        <v>45</v>
      </c>
      <c r="D9" s="1" t="s">
        <v>54</v>
      </c>
      <c r="E9" s="4" t="s">
        <v>57</v>
      </c>
      <c r="F9" s="4" t="s">
        <v>58</v>
      </c>
      <c r="G9" s="5" t="s">
        <v>36</v>
      </c>
      <c r="H9" s="6">
        <v>2.0</v>
      </c>
      <c r="I9" s="7">
        <f t="shared" si="1"/>
        <v>0</v>
      </c>
      <c r="J9" s="6">
        <v>2.0</v>
      </c>
      <c r="K9" s="7">
        <f t="shared" si="2"/>
        <v>0</v>
      </c>
      <c r="L9" s="6">
        <v>2.0</v>
      </c>
      <c r="M9" s="7">
        <f t="shared" si="3"/>
        <v>0</v>
      </c>
      <c r="N9" s="6">
        <v>2.0</v>
      </c>
      <c r="O9" s="7">
        <f t="shared" si="4"/>
        <v>0</v>
      </c>
      <c r="P9" s="6">
        <v>2.0</v>
      </c>
      <c r="Q9" s="7">
        <f t="shared" si="5"/>
        <v>0</v>
      </c>
      <c r="R9" s="6">
        <v>2.0</v>
      </c>
      <c r="S9" s="7">
        <f t="shared" si="6"/>
        <v>0</v>
      </c>
      <c r="T9" s="6">
        <v>2.0</v>
      </c>
      <c r="U9" s="7">
        <f t="shared" si="7"/>
        <v>0</v>
      </c>
      <c r="V9" s="6" t="s">
        <v>36</v>
      </c>
      <c r="W9" s="7">
        <f t="shared" si="8"/>
        <v>1</v>
      </c>
      <c r="X9" s="6">
        <v>2.0</v>
      </c>
      <c r="Y9" s="7">
        <f t="shared" si="9"/>
        <v>0</v>
      </c>
      <c r="Z9" s="6" t="s">
        <v>36</v>
      </c>
      <c r="AA9" s="7">
        <f t="shared" si="10"/>
        <v>1</v>
      </c>
      <c r="AB9" s="6">
        <v>2.0</v>
      </c>
      <c r="AC9" s="7">
        <f t="shared" si="11"/>
        <v>0</v>
      </c>
      <c r="AD9" s="6">
        <v>2.0</v>
      </c>
      <c r="AE9" s="7">
        <f t="shared" si="12"/>
        <v>0</v>
      </c>
      <c r="AF9" s="6">
        <v>2.0</v>
      </c>
      <c r="AG9" s="7">
        <f t="shared" si="13"/>
        <v>0</v>
      </c>
      <c r="AH9" s="6">
        <v>2.0</v>
      </c>
      <c r="AI9" s="7">
        <f t="shared" si="14"/>
        <v>0</v>
      </c>
      <c r="AJ9" s="6" t="s">
        <v>36</v>
      </c>
      <c r="AK9" s="7">
        <f t="shared" si="15"/>
        <v>1</v>
      </c>
      <c r="AL9" s="6" t="s">
        <v>36</v>
      </c>
      <c r="AM9" s="7">
        <f t="shared" si="16"/>
        <v>1</v>
      </c>
      <c r="AN9" s="6">
        <v>2.0</v>
      </c>
      <c r="AO9" s="7">
        <f t="shared" si="17"/>
        <v>0</v>
      </c>
      <c r="AP9" s="6">
        <v>2.0</v>
      </c>
      <c r="AQ9" s="7">
        <f t="shared" si="18"/>
        <v>0</v>
      </c>
      <c r="AR9" s="6">
        <v>2.0</v>
      </c>
      <c r="AS9" s="7">
        <f t="shared" si="19"/>
        <v>0</v>
      </c>
      <c r="AT9" s="6">
        <v>2.0</v>
      </c>
      <c r="AU9" s="7">
        <f t="shared" si="20"/>
        <v>0</v>
      </c>
      <c r="AV9" s="6">
        <v>2.0</v>
      </c>
      <c r="AW9" s="7">
        <f t="shared" si="21"/>
        <v>0</v>
      </c>
    </row>
    <row r="10" ht="18.0" customHeight="1">
      <c r="A10" s="3">
        <v>8.0</v>
      </c>
      <c r="B10" s="3" t="s">
        <v>52</v>
      </c>
      <c r="C10" s="3" t="s">
        <v>59</v>
      </c>
      <c r="D10" s="1" t="s">
        <v>46</v>
      </c>
      <c r="E10" s="4" t="s">
        <v>60</v>
      </c>
      <c r="F10" s="4" t="s">
        <v>61</v>
      </c>
      <c r="G10" s="5" t="s">
        <v>36</v>
      </c>
      <c r="H10" s="6">
        <v>2.0</v>
      </c>
      <c r="I10" s="7">
        <f t="shared" si="1"/>
        <v>0</v>
      </c>
      <c r="J10" s="6">
        <v>2.0</v>
      </c>
      <c r="K10" s="7">
        <f t="shared" si="2"/>
        <v>0</v>
      </c>
      <c r="L10" s="6" t="s">
        <v>36</v>
      </c>
      <c r="M10" s="7">
        <f t="shared" si="3"/>
        <v>1</v>
      </c>
      <c r="N10" s="6">
        <v>2.0</v>
      </c>
      <c r="O10" s="7">
        <f t="shared" si="4"/>
        <v>0</v>
      </c>
      <c r="P10" s="6">
        <v>2.0</v>
      </c>
      <c r="Q10" s="7">
        <f t="shared" si="5"/>
        <v>0</v>
      </c>
      <c r="R10" s="6">
        <v>2.0</v>
      </c>
      <c r="S10" s="7">
        <f t="shared" si="6"/>
        <v>0</v>
      </c>
      <c r="T10" s="6">
        <v>2.0</v>
      </c>
      <c r="U10" s="7">
        <f t="shared" si="7"/>
        <v>0</v>
      </c>
      <c r="V10" s="6">
        <v>2.0</v>
      </c>
      <c r="W10" s="7">
        <f t="shared" si="8"/>
        <v>0</v>
      </c>
      <c r="X10" s="6">
        <v>2.0</v>
      </c>
      <c r="Y10" s="7">
        <f t="shared" si="9"/>
        <v>0</v>
      </c>
      <c r="Z10" s="6">
        <v>2.0</v>
      </c>
      <c r="AA10" s="7">
        <f t="shared" si="10"/>
        <v>0</v>
      </c>
      <c r="AB10" s="6">
        <v>2.0</v>
      </c>
      <c r="AC10" s="7">
        <f t="shared" si="11"/>
        <v>0</v>
      </c>
      <c r="AD10" s="6" t="s">
        <v>36</v>
      </c>
      <c r="AE10" s="7">
        <f t="shared" si="12"/>
        <v>1</v>
      </c>
      <c r="AF10" s="6" t="s">
        <v>49</v>
      </c>
      <c r="AG10" s="7">
        <f t="shared" si="13"/>
        <v>1</v>
      </c>
      <c r="AH10" s="6">
        <v>2.0</v>
      </c>
      <c r="AI10" s="7">
        <f t="shared" si="14"/>
        <v>0</v>
      </c>
      <c r="AJ10" s="6">
        <v>1.0</v>
      </c>
      <c r="AK10" s="7">
        <f t="shared" si="15"/>
        <v>0</v>
      </c>
      <c r="AL10" s="6">
        <v>1.0</v>
      </c>
      <c r="AM10" s="7">
        <f t="shared" si="16"/>
        <v>0</v>
      </c>
      <c r="AN10" s="6">
        <v>2.0</v>
      </c>
      <c r="AO10" s="7">
        <f t="shared" si="17"/>
        <v>0</v>
      </c>
      <c r="AP10" s="6">
        <v>2.0</v>
      </c>
      <c r="AQ10" s="7">
        <f t="shared" si="18"/>
        <v>0</v>
      </c>
      <c r="AR10" s="6">
        <v>1.0</v>
      </c>
      <c r="AS10" s="7">
        <f t="shared" si="19"/>
        <v>0</v>
      </c>
      <c r="AT10" s="6">
        <v>2.0</v>
      </c>
      <c r="AU10" s="7">
        <f t="shared" si="20"/>
        <v>0</v>
      </c>
      <c r="AV10" s="6" t="s">
        <v>36</v>
      </c>
      <c r="AW10" s="7">
        <f t="shared" si="21"/>
        <v>1</v>
      </c>
    </row>
    <row r="11" ht="18.0" customHeight="1">
      <c r="A11" s="3">
        <v>9.0</v>
      </c>
      <c r="B11" s="3" t="s">
        <v>52</v>
      </c>
      <c r="C11" s="3" t="s">
        <v>62</v>
      </c>
      <c r="D11" s="1" t="s">
        <v>63</v>
      </c>
      <c r="E11" s="4" t="s">
        <v>64</v>
      </c>
      <c r="F11" s="4" t="s">
        <v>65</v>
      </c>
      <c r="G11" s="5" t="s">
        <v>36</v>
      </c>
      <c r="H11" s="6">
        <v>1.0</v>
      </c>
      <c r="I11" s="7">
        <f t="shared" si="1"/>
        <v>0</v>
      </c>
      <c r="J11" s="6">
        <v>1.0</v>
      </c>
      <c r="K11" s="7">
        <f t="shared" si="2"/>
        <v>0</v>
      </c>
      <c r="L11" s="6">
        <v>1.0</v>
      </c>
      <c r="M11" s="7">
        <f t="shared" si="3"/>
        <v>0</v>
      </c>
      <c r="N11" s="6">
        <v>1.0</v>
      </c>
      <c r="O11" s="7">
        <f t="shared" si="4"/>
        <v>0</v>
      </c>
      <c r="P11" s="6">
        <v>1.0</v>
      </c>
      <c r="Q11" s="7">
        <f t="shared" si="5"/>
        <v>0</v>
      </c>
      <c r="R11" s="6">
        <v>1.0</v>
      </c>
      <c r="S11" s="7">
        <f t="shared" si="6"/>
        <v>0</v>
      </c>
      <c r="T11" s="6">
        <v>1.0</v>
      </c>
      <c r="U11" s="7">
        <f t="shared" si="7"/>
        <v>0</v>
      </c>
      <c r="V11" s="6">
        <v>1.0</v>
      </c>
      <c r="W11" s="7">
        <f t="shared" si="8"/>
        <v>0</v>
      </c>
      <c r="X11" s="6">
        <v>1.0</v>
      </c>
      <c r="Y11" s="7">
        <f t="shared" si="9"/>
        <v>0</v>
      </c>
      <c r="Z11" s="6">
        <v>1.0</v>
      </c>
      <c r="AA11" s="7">
        <f t="shared" si="10"/>
        <v>0</v>
      </c>
      <c r="AB11" s="6">
        <v>1.0</v>
      </c>
      <c r="AC11" s="7">
        <f t="shared" si="11"/>
        <v>0</v>
      </c>
      <c r="AD11" s="6">
        <v>1.0</v>
      </c>
      <c r="AE11" s="7">
        <f t="shared" si="12"/>
        <v>0</v>
      </c>
      <c r="AF11" s="6">
        <v>1.0</v>
      </c>
      <c r="AG11" s="7">
        <f t="shared" si="13"/>
        <v>0</v>
      </c>
      <c r="AH11" s="6">
        <v>1.0</v>
      </c>
      <c r="AI11" s="7">
        <f t="shared" si="14"/>
        <v>0</v>
      </c>
      <c r="AJ11" s="6">
        <v>1.0</v>
      </c>
      <c r="AK11" s="7">
        <f t="shared" si="15"/>
        <v>0</v>
      </c>
      <c r="AL11" s="6">
        <v>1.0</v>
      </c>
      <c r="AM11" s="7">
        <f t="shared" si="16"/>
        <v>0</v>
      </c>
      <c r="AN11" s="6">
        <v>1.0</v>
      </c>
      <c r="AO11" s="7">
        <f t="shared" si="17"/>
        <v>0</v>
      </c>
      <c r="AP11" s="6">
        <v>1.0</v>
      </c>
      <c r="AQ11" s="7">
        <f t="shared" si="18"/>
        <v>0</v>
      </c>
      <c r="AR11" s="6">
        <v>1.0</v>
      </c>
      <c r="AS11" s="7">
        <f t="shared" si="19"/>
        <v>0</v>
      </c>
      <c r="AT11" s="6">
        <v>1.0</v>
      </c>
      <c r="AU11" s="7">
        <f t="shared" si="20"/>
        <v>0</v>
      </c>
      <c r="AV11" s="6">
        <v>1.0</v>
      </c>
      <c r="AW11" s="7">
        <f t="shared" si="21"/>
        <v>0</v>
      </c>
    </row>
    <row r="12" ht="18.0" customHeight="1">
      <c r="A12" s="3">
        <v>10.0</v>
      </c>
      <c r="B12" s="3" t="s">
        <v>52</v>
      </c>
      <c r="C12" s="3" t="s">
        <v>66</v>
      </c>
      <c r="D12" s="1" t="s">
        <v>67</v>
      </c>
      <c r="E12" s="4" t="s">
        <v>68</v>
      </c>
      <c r="F12" s="4" t="s">
        <v>69</v>
      </c>
      <c r="G12" s="5" t="s">
        <v>36</v>
      </c>
      <c r="H12" s="6">
        <v>1.0</v>
      </c>
      <c r="I12" s="7">
        <f t="shared" si="1"/>
        <v>0</v>
      </c>
      <c r="J12" s="6">
        <v>1.0</v>
      </c>
      <c r="K12" s="7">
        <f t="shared" si="2"/>
        <v>0</v>
      </c>
      <c r="L12" s="6">
        <v>1.0</v>
      </c>
      <c r="M12" s="7">
        <f t="shared" si="3"/>
        <v>0</v>
      </c>
      <c r="N12" s="6">
        <v>2.0</v>
      </c>
      <c r="O12" s="7">
        <f t="shared" si="4"/>
        <v>0</v>
      </c>
      <c r="P12" s="6" t="s">
        <v>36</v>
      </c>
      <c r="Q12" s="7">
        <f t="shared" si="5"/>
        <v>1</v>
      </c>
      <c r="R12" s="6">
        <v>1.0</v>
      </c>
      <c r="S12" s="7">
        <f t="shared" si="6"/>
        <v>0</v>
      </c>
      <c r="T12" s="6">
        <v>1.0</v>
      </c>
      <c r="U12" s="7">
        <f t="shared" si="7"/>
        <v>0</v>
      </c>
      <c r="V12" s="6">
        <v>1.0</v>
      </c>
      <c r="W12" s="7">
        <f t="shared" si="8"/>
        <v>0</v>
      </c>
      <c r="X12" s="6">
        <v>1.0</v>
      </c>
      <c r="Y12" s="7">
        <f t="shared" si="9"/>
        <v>0</v>
      </c>
      <c r="Z12" s="6">
        <v>1.0</v>
      </c>
      <c r="AA12" s="7">
        <f t="shared" si="10"/>
        <v>0</v>
      </c>
      <c r="AB12" s="6">
        <v>2.0</v>
      </c>
      <c r="AC12" s="7">
        <f t="shared" si="11"/>
        <v>0</v>
      </c>
      <c r="AD12" s="6">
        <v>1.0</v>
      </c>
      <c r="AE12" s="7">
        <f t="shared" si="12"/>
        <v>0</v>
      </c>
      <c r="AF12" s="6">
        <v>1.0</v>
      </c>
      <c r="AG12" s="7">
        <f t="shared" si="13"/>
        <v>0</v>
      </c>
      <c r="AH12" s="6">
        <v>1.0</v>
      </c>
      <c r="AI12" s="7">
        <f t="shared" si="14"/>
        <v>0</v>
      </c>
      <c r="AJ12" s="6">
        <v>1.0</v>
      </c>
      <c r="AK12" s="7">
        <f t="shared" si="15"/>
        <v>0</v>
      </c>
      <c r="AL12" s="6">
        <v>1.0</v>
      </c>
      <c r="AM12" s="7">
        <f t="shared" si="16"/>
        <v>0</v>
      </c>
      <c r="AN12" s="6">
        <v>1.0</v>
      </c>
      <c r="AO12" s="7">
        <f t="shared" si="17"/>
        <v>0</v>
      </c>
      <c r="AP12" s="6">
        <v>1.0</v>
      </c>
      <c r="AQ12" s="7">
        <f t="shared" si="18"/>
        <v>0</v>
      </c>
      <c r="AR12" s="6">
        <v>1.0</v>
      </c>
      <c r="AS12" s="7">
        <f t="shared" si="19"/>
        <v>0</v>
      </c>
      <c r="AT12" s="6">
        <v>1.0</v>
      </c>
      <c r="AU12" s="7">
        <f t="shared" si="20"/>
        <v>0</v>
      </c>
      <c r="AV12" s="6">
        <v>1.0</v>
      </c>
      <c r="AW12" s="7">
        <f t="shared" si="21"/>
        <v>0</v>
      </c>
    </row>
    <row r="13" ht="18.0" customHeight="1">
      <c r="A13" s="3">
        <v>11.0</v>
      </c>
      <c r="B13" s="3" t="s">
        <v>70</v>
      </c>
      <c r="C13" s="3" t="s">
        <v>71</v>
      </c>
      <c r="D13" s="1" t="s">
        <v>63</v>
      </c>
      <c r="E13" s="4" t="s">
        <v>72</v>
      </c>
      <c r="F13" s="4" t="s">
        <v>73</v>
      </c>
      <c r="G13" s="5" t="s">
        <v>36</v>
      </c>
      <c r="H13" s="6">
        <v>1.0</v>
      </c>
      <c r="I13" s="7">
        <f t="shared" si="1"/>
        <v>0</v>
      </c>
      <c r="J13" s="6" t="s">
        <v>36</v>
      </c>
      <c r="K13" s="7">
        <f t="shared" si="2"/>
        <v>1</v>
      </c>
      <c r="L13" s="6" t="s">
        <v>36</v>
      </c>
      <c r="M13" s="7">
        <f t="shared" si="3"/>
        <v>1</v>
      </c>
      <c r="N13" s="6">
        <v>1.0</v>
      </c>
      <c r="O13" s="7">
        <f t="shared" si="4"/>
        <v>0</v>
      </c>
      <c r="P13" s="6" t="s">
        <v>36</v>
      </c>
      <c r="Q13" s="7">
        <f t="shared" si="5"/>
        <v>1</v>
      </c>
      <c r="R13" s="6" t="s">
        <v>36</v>
      </c>
      <c r="S13" s="7">
        <f t="shared" si="6"/>
        <v>1</v>
      </c>
      <c r="T13" s="6">
        <v>2.0</v>
      </c>
      <c r="U13" s="7">
        <f t="shared" si="7"/>
        <v>0</v>
      </c>
      <c r="V13" s="6">
        <v>1.0</v>
      </c>
      <c r="W13" s="7">
        <f t="shared" si="8"/>
        <v>0</v>
      </c>
      <c r="X13" s="6">
        <v>2.0</v>
      </c>
      <c r="Y13" s="7">
        <f t="shared" si="9"/>
        <v>0</v>
      </c>
      <c r="Z13" s="6" t="s">
        <v>36</v>
      </c>
      <c r="AA13" s="7">
        <f t="shared" si="10"/>
        <v>1</v>
      </c>
      <c r="AB13" s="6">
        <v>1.0</v>
      </c>
      <c r="AC13" s="7">
        <f t="shared" si="11"/>
        <v>0</v>
      </c>
      <c r="AD13" s="6" t="s">
        <v>36</v>
      </c>
      <c r="AE13" s="7">
        <f t="shared" si="12"/>
        <v>1</v>
      </c>
      <c r="AF13" s="6">
        <v>1.0</v>
      </c>
      <c r="AG13" s="7">
        <f t="shared" si="13"/>
        <v>0</v>
      </c>
      <c r="AH13" s="6" t="s">
        <v>36</v>
      </c>
      <c r="AI13" s="7">
        <f t="shared" si="14"/>
        <v>1</v>
      </c>
      <c r="AJ13" s="6">
        <v>1.0</v>
      </c>
      <c r="AK13" s="7">
        <f t="shared" si="15"/>
        <v>0</v>
      </c>
      <c r="AL13" s="6">
        <v>2.0</v>
      </c>
      <c r="AM13" s="7">
        <f t="shared" si="16"/>
        <v>0</v>
      </c>
      <c r="AN13" s="6">
        <v>1.0</v>
      </c>
      <c r="AO13" s="7">
        <f t="shared" si="17"/>
        <v>0</v>
      </c>
      <c r="AP13" s="6">
        <v>2.0</v>
      </c>
      <c r="AQ13" s="7">
        <f t="shared" si="18"/>
        <v>0</v>
      </c>
      <c r="AR13" s="6">
        <v>1.0</v>
      </c>
      <c r="AS13" s="7">
        <f t="shared" si="19"/>
        <v>0</v>
      </c>
      <c r="AT13" s="6">
        <v>2.0</v>
      </c>
      <c r="AU13" s="7">
        <f t="shared" si="20"/>
        <v>0</v>
      </c>
      <c r="AV13" s="6" t="s">
        <v>36</v>
      </c>
      <c r="AW13" s="7">
        <f t="shared" si="21"/>
        <v>1</v>
      </c>
    </row>
    <row r="14" ht="18.0" customHeight="1">
      <c r="A14" s="3">
        <v>12.0</v>
      </c>
      <c r="B14" s="3" t="s">
        <v>70</v>
      </c>
      <c r="C14" s="3" t="s">
        <v>38</v>
      </c>
      <c r="D14" s="1" t="s">
        <v>67</v>
      </c>
      <c r="E14" s="4" t="s">
        <v>74</v>
      </c>
      <c r="F14" s="4" t="s">
        <v>75</v>
      </c>
      <c r="G14" s="5" t="s">
        <v>36</v>
      </c>
      <c r="H14" s="6" t="s">
        <v>36</v>
      </c>
      <c r="I14" s="7">
        <f t="shared" si="1"/>
        <v>1</v>
      </c>
      <c r="J14" s="6">
        <v>1.0</v>
      </c>
      <c r="K14" s="7">
        <f t="shared" si="2"/>
        <v>0</v>
      </c>
      <c r="L14" s="6" t="s">
        <v>36</v>
      </c>
      <c r="M14" s="7">
        <f t="shared" si="3"/>
        <v>1</v>
      </c>
      <c r="N14" s="6" t="s">
        <v>36</v>
      </c>
      <c r="O14" s="7">
        <f t="shared" si="4"/>
        <v>1</v>
      </c>
      <c r="P14" s="6">
        <v>1.0</v>
      </c>
      <c r="Q14" s="7">
        <f t="shared" si="5"/>
        <v>0</v>
      </c>
      <c r="R14" s="6">
        <v>1.0</v>
      </c>
      <c r="S14" s="7">
        <f t="shared" si="6"/>
        <v>0</v>
      </c>
      <c r="T14" s="6">
        <v>1.0</v>
      </c>
      <c r="U14" s="7">
        <f t="shared" si="7"/>
        <v>0</v>
      </c>
      <c r="V14" s="6">
        <v>1.0</v>
      </c>
      <c r="W14" s="7">
        <f t="shared" si="8"/>
        <v>0</v>
      </c>
      <c r="X14" s="6">
        <v>1.0</v>
      </c>
      <c r="Y14" s="7">
        <f t="shared" si="9"/>
        <v>0</v>
      </c>
      <c r="Z14" s="6">
        <v>1.0</v>
      </c>
      <c r="AA14" s="7">
        <f t="shared" si="10"/>
        <v>0</v>
      </c>
      <c r="AB14" s="6">
        <v>1.0</v>
      </c>
      <c r="AC14" s="7">
        <f t="shared" si="11"/>
        <v>0</v>
      </c>
      <c r="AD14" s="6" t="s">
        <v>36</v>
      </c>
      <c r="AE14" s="7">
        <f t="shared" si="12"/>
        <v>1</v>
      </c>
      <c r="AF14" s="6">
        <v>1.0</v>
      </c>
      <c r="AG14" s="7">
        <f t="shared" si="13"/>
        <v>0</v>
      </c>
      <c r="AH14" s="6">
        <v>1.0</v>
      </c>
      <c r="AI14" s="7">
        <f t="shared" si="14"/>
        <v>0</v>
      </c>
      <c r="AJ14" s="6">
        <v>2.0</v>
      </c>
      <c r="AK14" s="7">
        <f t="shared" si="15"/>
        <v>0</v>
      </c>
      <c r="AL14" s="6">
        <v>1.0</v>
      </c>
      <c r="AM14" s="7">
        <f t="shared" si="16"/>
        <v>0</v>
      </c>
      <c r="AN14" s="6">
        <v>1.0</v>
      </c>
      <c r="AO14" s="7">
        <f t="shared" si="17"/>
        <v>0</v>
      </c>
      <c r="AP14" s="6">
        <v>2.0</v>
      </c>
      <c r="AQ14" s="7">
        <f t="shared" si="18"/>
        <v>0</v>
      </c>
      <c r="AR14" s="6">
        <v>1.0</v>
      </c>
      <c r="AS14" s="7">
        <f t="shared" si="19"/>
        <v>0</v>
      </c>
      <c r="AT14" s="6">
        <v>1.0</v>
      </c>
      <c r="AU14" s="7">
        <f t="shared" si="20"/>
        <v>0</v>
      </c>
      <c r="AV14" s="6">
        <v>2.0</v>
      </c>
      <c r="AW14" s="7">
        <f t="shared" si="21"/>
        <v>0</v>
      </c>
    </row>
    <row r="15" ht="18.0" customHeight="1">
      <c r="A15" s="3">
        <v>13.0</v>
      </c>
      <c r="B15" s="3" t="s">
        <v>70</v>
      </c>
      <c r="C15" s="3" t="s">
        <v>76</v>
      </c>
      <c r="D15" s="1" t="s">
        <v>77</v>
      </c>
      <c r="E15" s="4" t="s">
        <v>78</v>
      </c>
      <c r="F15" s="4" t="s">
        <v>79</v>
      </c>
      <c r="G15" s="5" t="s">
        <v>36</v>
      </c>
      <c r="H15" s="6">
        <v>1.0</v>
      </c>
      <c r="I15" s="7">
        <f t="shared" si="1"/>
        <v>0</v>
      </c>
      <c r="J15" s="6">
        <v>1.0</v>
      </c>
      <c r="K15" s="7">
        <f t="shared" si="2"/>
        <v>0</v>
      </c>
      <c r="L15" s="6">
        <v>1.0</v>
      </c>
      <c r="M15" s="7">
        <f t="shared" si="3"/>
        <v>0</v>
      </c>
      <c r="N15" s="6">
        <v>1.0</v>
      </c>
      <c r="O15" s="7">
        <f t="shared" si="4"/>
        <v>0</v>
      </c>
      <c r="P15" s="6">
        <v>1.0</v>
      </c>
      <c r="Q15" s="7">
        <f t="shared" si="5"/>
        <v>0</v>
      </c>
      <c r="R15" s="6">
        <v>1.0</v>
      </c>
      <c r="S15" s="7">
        <f t="shared" si="6"/>
        <v>0</v>
      </c>
      <c r="T15" s="6">
        <v>1.0</v>
      </c>
      <c r="U15" s="7">
        <f t="shared" si="7"/>
        <v>0</v>
      </c>
      <c r="V15" s="6">
        <v>1.0</v>
      </c>
      <c r="W15" s="7">
        <f t="shared" si="8"/>
        <v>0</v>
      </c>
      <c r="X15" s="6">
        <v>1.0</v>
      </c>
      <c r="Y15" s="7">
        <f t="shared" si="9"/>
        <v>0</v>
      </c>
      <c r="Z15" s="6">
        <v>1.0</v>
      </c>
      <c r="AA15" s="7">
        <f t="shared" si="10"/>
        <v>0</v>
      </c>
      <c r="AB15" s="6">
        <v>1.0</v>
      </c>
      <c r="AC15" s="7">
        <f t="shared" si="11"/>
        <v>0</v>
      </c>
      <c r="AD15" s="6">
        <v>1.0</v>
      </c>
      <c r="AE15" s="7">
        <f t="shared" si="12"/>
        <v>0</v>
      </c>
      <c r="AF15" s="6">
        <v>1.0</v>
      </c>
      <c r="AG15" s="7">
        <f t="shared" si="13"/>
        <v>0</v>
      </c>
      <c r="AH15" s="6">
        <v>1.0</v>
      </c>
      <c r="AI15" s="7">
        <f t="shared" si="14"/>
        <v>0</v>
      </c>
      <c r="AJ15" s="6">
        <v>1.0</v>
      </c>
      <c r="AK15" s="7">
        <f t="shared" si="15"/>
        <v>0</v>
      </c>
      <c r="AL15" s="6">
        <v>1.0</v>
      </c>
      <c r="AM15" s="7">
        <f t="shared" si="16"/>
        <v>0</v>
      </c>
      <c r="AN15" s="6">
        <v>1.0</v>
      </c>
      <c r="AO15" s="7">
        <f t="shared" si="17"/>
        <v>0</v>
      </c>
      <c r="AP15" s="6">
        <v>1.0</v>
      </c>
      <c r="AQ15" s="7">
        <f t="shared" si="18"/>
        <v>0</v>
      </c>
      <c r="AR15" s="6">
        <v>1.0</v>
      </c>
      <c r="AS15" s="7">
        <f t="shared" si="19"/>
        <v>0</v>
      </c>
      <c r="AT15" s="6">
        <v>1.0</v>
      </c>
      <c r="AU15" s="7">
        <f t="shared" si="20"/>
        <v>0</v>
      </c>
      <c r="AV15" s="6">
        <v>1.0</v>
      </c>
      <c r="AW15" s="7">
        <f t="shared" si="21"/>
        <v>0</v>
      </c>
    </row>
    <row r="16" ht="18.0" customHeight="1">
      <c r="A16" s="3">
        <v>14.0</v>
      </c>
      <c r="B16" s="3" t="s">
        <v>70</v>
      </c>
      <c r="C16" s="3" t="s">
        <v>32</v>
      </c>
      <c r="D16" s="1" t="s">
        <v>80</v>
      </c>
      <c r="E16" s="4" t="s">
        <v>81</v>
      </c>
      <c r="F16" s="4" t="s">
        <v>82</v>
      </c>
      <c r="G16" s="5" t="s">
        <v>36</v>
      </c>
      <c r="H16" s="6">
        <v>1.0</v>
      </c>
      <c r="I16" s="7">
        <f t="shared" si="1"/>
        <v>0</v>
      </c>
      <c r="J16" s="6">
        <v>1.0</v>
      </c>
      <c r="K16" s="7">
        <f t="shared" si="2"/>
        <v>0</v>
      </c>
      <c r="L16" s="6" t="s">
        <v>36</v>
      </c>
      <c r="M16" s="7">
        <f t="shared" si="3"/>
        <v>1</v>
      </c>
      <c r="N16" s="6">
        <v>2.0</v>
      </c>
      <c r="O16" s="7">
        <f t="shared" si="4"/>
        <v>0</v>
      </c>
      <c r="P16" s="6">
        <v>1.0</v>
      </c>
      <c r="Q16" s="7">
        <f t="shared" si="5"/>
        <v>0</v>
      </c>
      <c r="R16" s="6">
        <v>1.0</v>
      </c>
      <c r="S16" s="7">
        <f t="shared" si="6"/>
        <v>0</v>
      </c>
      <c r="T16" s="6">
        <v>1.0</v>
      </c>
      <c r="U16" s="7">
        <f t="shared" si="7"/>
        <v>0</v>
      </c>
      <c r="V16" s="6">
        <v>1.0</v>
      </c>
      <c r="W16" s="7">
        <f t="shared" si="8"/>
        <v>0</v>
      </c>
      <c r="X16" s="6">
        <v>1.0</v>
      </c>
      <c r="Y16" s="7">
        <f t="shared" si="9"/>
        <v>0</v>
      </c>
      <c r="Z16" s="6">
        <v>1.0</v>
      </c>
      <c r="AA16" s="7">
        <f t="shared" si="10"/>
        <v>0</v>
      </c>
      <c r="AB16" s="6">
        <v>1.0</v>
      </c>
      <c r="AC16" s="7">
        <f t="shared" si="11"/>
        <v>0</v>
      </c>
      <c r="AD16" s="6" t="s">
        <v>36</v>
      </c>
      <c r="AE16" s="7">
        <f t="shared" si="12"/>
        <v>1</v>
      </c>
      <c r="AF16" s="6">
        <v>1.0</v>
      </c>
      <c r="AG16" s="7">
        <f t="shared" si="13"/>
        <v>0</v>
      </c>
      <c r="AH16" s="6">
        <v>1.0</v>
      </c>
      <c r="AI16" s="7">
        <f t="shared" si="14"/>
        <v>0</v>
      </c>
      <c r="AJ16" s="6" t="s">
        <v>36</v>
      </c>
      <c r="AK16" s="7">
        <f t="shared" si="15"/>
        <v>1</v>
      </c>
      <c r="AL16" s="6" t="s">
        <v>36</v>
      </c>
      <c r="AM16" s="7">
        <f t="shared" si="16"/>
        <v>1</v>
      </c>
      <c r="AN16" s="6">
        <v>1.0</v>
      </c>
      <c r="AO16" s="7">
        <f t="shared" si="17"/>
        <v>0</v>
      </c>
      <c r="AP16" s="6">
        <v>1.0</v>
      </c>
      <c r="AQ16" s="7">
        <f t="shared" si="18"/>
        <v>0</v>
      </c>
      <c r="AR16" s="6">
        <v>1.0</v>
      </c>
      <c r="AS16" s="7">
        <f t="shared" si="19"/>
        <v>0</v>
      </c>
      <c r="AT16" s="6">
        <v>1.0</v>
      </c>
      <c r="AU16" s="7">
        <f t="shared" si="20"/>
        <v>0</v>
      </c>
      <c r="AV16" s="6">
        <v>1.0</v>
      </c>
      <c r="AW16" s="7">
        <f t="shared" si="21"/>
        <v>0</v>
      </c>
    </row>
    <row r="17" ht="18.0" customHeight="1">
      <c r="A17" s="3">
        <v>15.0</v>
      </c>
      <c r="B17" s="3" t="s">
        <v>83</v>
      </c>
      <c r="C17" s="3" t="s">
        <v>53</v>
      </c>
      <c r="D17" s="1" t="s">
        <v>77</v>
      </c>
      <c r="E17" s="4" t="s">
        <v>84</v>
      </c>
      <c r="F17" s="4" t="s">
        <v>85</v>
      </c>
      <c r="G17" s="5" t="s">
        <v>36</v>
      </c>
      <c r="H17" s="6">
        <v>2.0</v>
      </c>
      <c r="I17" s="7">
        <f t="shared" si="1"/>
        <v>0</v>
      </c>
      <c r="J17" s="6">
        <v>2.0</v>
      </c>
      <c r="K17" s="7">
        <f t="shared" si="2"/>
        <v>0</v>
      </c>
      <c r="L17" s="6" t="s">
        <v>36</v>
      </c>
      <c r="M17" s="7">
        <f t="shared" si="3"/>
        <v>1</v>
      </c>
      <c r="N17" s="6">
        <v>2.0</v>
      </c>
      <c r="O17" s="7">
        <f t="shared" si="4"/>
        <v>0</v>
      </c>
      <c r="P17" s="6">
        <v>2.0</v>
      </c>
      <c r="Q17" s="7">
        <f t="shared" si="5"/>
        <v>0</v>
      </c>
      <c r="R17" s="6">
        <v>2.0</v>
      </c>
      <c r="S17" s="7">
        <f t="shared" si="6"/>
        <v>0</v>
      </c>
      <c r="T17" s="6" t="s">
        <v>36</v>
      </c>
      <c r="U17" s="7">
        <f t="shared" si="7"/>
        <v>1</v>
      </c>
      <c r="V17" s="6">
        <v>2.0</v>
      </c>
      <c r="W17" s="7">
        <f t="shared" si="8"/>
        <v>0</v>
      </c>
      <c r="X17" s="6">
        <v>2.0</v>
      </c>
      <c r="Y17" s="7">
        <f t="shared" si="9"/>
        <v>0</v>
      </c>
      <c r="Z17" s="6">
        <v>1.0</v>
      </c>
      <c r="AA17" s="7">
        <f t="shared" si="10"/>
        <v>0</v>
      </c>
      <c r="AB17" s="6">
        <v>2.0</v>
      </c>
      <c r="AC17" s="7">
        <f t="shared" si="11"/>
        <v>0</v>
      </c>
      <c r="AD17" s="6" t="s">
        <v>36</v>
      </c>
      <c r="AE17" s="7">
        <f t="shared" si="12"/>
        <v>1</v>
      </c>
      <c r="AF17" s="6">
        <v>2.0</v>
      </c>
      <c r="AG17" s="7">
        <f t="shared" si="13"/>
        <v>0</v>
      </c>
      <c r="AH17" s="6">
        <v>2.0</v>
      </c>
      <c r="AI17" s="7">
        <f t="shared" si="14"/>
        <v>0</v>
      </c>
      <c r="AJ17" s="6">
        <v>2.0</v>
      </c>
      <c r="AK17" s="7">
        <f t="shared" si="15"/>
        <v>0</v>
      </c>
      <c r="AL17" s="6" t="s">
        <v>36</v>
      </c>
      <c r="AM17" s="7">
        <f t="shared" si="16"/>
        <v>1</v>
      </c>
      <c r="AN17" s="6">
        <v>2.0</v>
      </c>
      <c r="AO17" s="7">
        <f t="shared" si="17"/>
        <v>0</v>
      </c>
      <c r="AP17" s="6">
        <v>2.0</v>
      </c>
      <c r="AQ17" s="7">
        <f t="shared" si="18"/>
        <v>0</v>
      </c>
      <c r="AR17" s="6">
        <v>2.0</v>
      </c>
      <c r="AS17" s="7">
        <f t="shared" si="19"/>
        <v>0</v>
      </c>
      <c r="AT17" s="6">
        <v>2.0</v>
      </c>
      <c r="AU17" s="7">
        <f t="shared" si="20"/>
        <v>0</v>
      </c>
      <c r="AV17" s="6">
        <v>2.0</v>
      </c>
      <c r="AW17" s="7">
        <f t="shared" si="21"/>
        <v>0</v>
      </c>
    </row>
    <row r="18" ht="18.0" customHeight="1">
      <c r="A18" s="3">
        <v>16.0</v>
      </c>
      <c r="B18" s="3" t="s">
        <v>83</v>
      </c>
      <c r="C18" s="3" t="s">
        <v>45</v>
      </c>
      <c r="D18" s="1" t="s">
        <v>80</v>
      </c>
      <c r="E18" s="4" t="s">
        <v>86</v>
      </c>
      <c r="F18" s="4" t="s">
        <v>87</v>
      </c>
      <c r="G18" s="5" t="s">
        <v>36</v>
      </c>
      <c r="H18" s="6">
        <v>1.0</v>
      </c>
      <c r="I18" s="7">
        <f t="shared" si="1"/>
        <v>0</v>
      </c>
      <c r="J18" s="6" t="s">
        <v>36</v>
      </c>
      <c r="K18" s="7">
        <f t="shared" si="2"/>
        <v>1</v>
      </c>
      <c r="L18" s="6" t="s">
        <v>36</v>
      </c>
      <c r="M18" s="7">
        <f t="shared" si="3"/>
        <v>1</v>
      </c>
      <c r="N18" s="6" t="s">
        <v>36</v>
      </c>
      <c r="O18" s="7">
        <f t="shared" si="4"/>
        <v>1</v>
      </c>
      <c r="P18" s="6" t="s">
        <v>36</v>
      </c>
      <c r="Q18" s="7">
        <f t="shared" si="5"/>
        <v>1</v>
      </c>
      <c r="R18" s="6" t="s">
        <v>36</v>
      </c>
      <c r="S18" s="7">
        <f t="shared" si="6"/>
        <v>1</v>
      </c>
      <c r="T18" s="6" t="s">
        <v>36</v>
      </c>
      <c r="U18" s="7">
        <f t="shared" si="7"/>
        <v>1</v>
      </c>
      <c r="V18" s="6">
        <v>1.0</v>
      </c>
      <c r="W18" s="7">
        <f t="shared" si="8"/>
        <v>0</v>
      </c>
      <c r="X18" s="6">
        <v>1.0</v>
      </c>
      <c r="Y18" s="7">
        <f t="shared" si="9"/>
        <v>0</v>
      </c>
      <c r="Z18" s="6">
        <v>2.0</v>
      </c>
      <c r="AA18" s="7">
        <f t="shared" si="10"/>
        <v>0</v>
      </c>
      <c r="AB18" s="6" t="s">
        <v>36</v>
      </c>
      <c r="AC18" s="7">
        <f t="shared" si="11"/>
        <v>1</v>
      </c>
      <c r="AD18" s="6">
        <v>1.0</v>
      </c>
      <c r="AE18" s="7">
        <f t="shared" si="12"/>
        <v>0</v>
      </c>
      <c r="AF18" s="6" t="s">
        <v>49</v>
      </c>
      <c r="AG18" s="7">
        <f t="shared" si="13"/>
        <v>1</v>
      </c>
      <c r="AH18" s="6">
        <v>1.0</v>
      </c>
      <c r="AI18" s="7">
        <f t="shared" si="14"/>
        <v>0</v>
      </c>
      <c r="AJ18" s="6">
        <v>1.0</v>
      </c>
      <c r="AK18" s="7">
        <f t="shared" si="15"/>
        <v>0</v>
      </c>
      <c r="AL18" s="6">
        <v>1.0</v>
      </c>
      <c r="AM18" s="7">
        <f t="shared" si="16"/>
        <v>0</v>
      </c>
      <c r="AN18" s="6">
        <v>2.0</v>
      </c>
      <c r="AO18" s="7">
        <f t="shared" si="17"/>
        <v>0</v>
      </c>
      <c r="AP18" s="6">
        <v>1.0</v>
      </c>
      <c r="AQ18" s="7">
        <f t="shared" si="18"/>
        <v>0</v>
      </c>
      <c r="AR18" s="6">
        <v>2.0</v>
      </c>
      <c r="AS18" s="7">
        <f t="shared" si="19"/>
        <v>0</v>
      </c>
      <c r="AT18" s="6">
        <v>2.0</v>
      </c>
      <c r="AU18" s="7">
        <f t="shared" si="20"/>
        <v>0</v>
      </c>
      <c r="AV18" s="6" t="s">
        <v>36</v>
      </c>
      <c r="AW18" s="7">
        <f t="shared" si="21"/>
        <v>1</v>
      </c>
    </row>
    <row r="19" ht="18.0" customHeight="1">
      <c r="A19" s="3">
        <v>17.0</v>
      </c>
      <c r="B19" s="3" t="s">
        <v>83</v>
      </c>
      <c r="C19" s="3" t="s">
        <v>32</v>
      </c>
      <c r="D19" s="1" t="s">
        <v>88</v>
      </c>
      <c r="E19" s="4" t="s">
        <v>89</v>
      </c>
      <c r="F19" s="4" t="s">
        <v>90</v>
      </c>
      <c r="G19" s="5" t="s">
        <v>36</v>
      </c>
      <c r="H19" s="6">
        <v>1.0</v>
      </c>
      <c r="I19" s="7">
        <f t="shared" si="1"/>
        <v>0</v>
      </c>
      <c r="J19" s="6">
        <v>1.0</v>
      </c>
      <c r="K19" s="7">
        <f t="shared" si="2"/>
        <v>0</v>
      </c>
      <c r="L19" s="6">
        <v>1.0</v>
      </c>
      <c r="M19" s="7">
        <f t="shared" si="3"/>
        <v>0</v>
      </c>
      <c r="N19" s="6" t="s">
        <v>36</v>
      </c>
      <c r="O19" s="7">
        <f t="shared" si="4"/>
        <v>1</v>
      </c>
      <c r="P19" s="6">
        <v>1.0</v>
      </c>
      <c r="Q19" s="7">
        <f t="shared" si="5"/>
        <v>0</v>
      </c>
      <c r="R19" s="6">
        <v>1.0</v>
      </c>
      <c r="S19" s="7">
        <f t="shared" si="6"/>
        <v>0</v>
      </c>
      <c r="T19" s="6">
        <v>1.0</v>
      </c>
      <c r="U19" s="7">
        <f t="shared" si="7"/>
        <v>0</v>
      </c>
      <c r="V19" s="6" t="s">
        <v>36</v>
      </c>
      <c r="W19" s="7">
        <f t="shared" si="8"/>
        <v>1</v>
      </c>
      <c r="X19" s="6">
        <v>1.0</v>
      </c>
      <c r="Y19" s="7">
        <f t="shared" si="9"/>
        <v>0</v>
      </c>
      <c r="Z19" s="6">
        <v>1.0</v>
      </c>
      <c r="AA19" s="7">
        <f t="shared" si="10"/>
        <v>0</v>
      </c>
      <c r="AB19" s="6">
        <v>1.0</v>
      </c>
      <c r="AC19" s="7">
        <f t="shared" si="11"/>
        <v>0</v>
      </c>
      <c r="AD19" s="6">
        <v>1.0</v>
      </c>
      <c r="AE19" s="7">
        <f t="shared" si="12"/>
        <v>0</v>
      </c>
      <c r="AF19" s="6">
        <v>1.0</v>
      </c>
      <c r="AG19" s="7">
        <f t="shared" si="13"/>
        <v>0</v>
      </c>
      <c r="AH19" s="6">
        <v>1.0</v>
      </c>
      <c r="AI19" s="7">
        <f t="shared" si="14"/>
        <v>0</v>
      </c>
      <c r="AJ19" s="6">
        <v>2.0</v>
      </c>
      <c r="AK19" s="7">
        <f t="shared" si="15"/>
        <v>0</v>
      </c>
      <c r="AL19" s="6">
        <v>1.0</v>
      </c>
      <c r="AM19" s="7">
        <f t="shared" si="16"/>
        <v>0</v>
      </c>
      <c r="AN19" s="6">
        <v>1.0</v>
      </c>
      <c r="AO19" s="7">
        <f t="shared" si="17"/>
        <v>0</v>
      </c>
      <c r="AP19" s="6">
        <v>1.0</v>
      </c>
      <c r="AQ19" s="7">
        <f t="shared" si="18"/>
        <v>0</v>
      </c>
      <c r="AR19" s="6">
        <v>1.0</v>
      </c>
      <c r="AS19" s="7">
        <f t="shared" si="19"/>
        <v>0</v>
      </c>
      <c r="AT19" s="6">
        <v>2.0</v>
      </c>
      <c r="AU19" s="7">
        <f t="shared" si="20"/>
        <v>0</v>
      </c>
      <c r="AV19" s="6">
        <v>1.0</v>
      </c>
      <c r="AW19" s="7">
        <f t="shared" si="21"/>
        <v>0</v>
      </c>
    </row>
    <row r="20" ht="18.0" customHeight="1">
      <c r="A20" s="3">
        <v>18.0</v>
      </c>
      <c r="B20" s="3" t="s">
        <v>91</v>
      </c>
      <c r="C20" s="3" t="s">
        <v>53</v>
      </c>
      <c r="D20" s="1" t="s">
        <v>88</v>
      </c>
      <c r="E20" s="4" t="s">
        <v>92</v>
      </c>
      <c r="F20" s="4" t="s">
        <v>93</v>
      </c>
      <c r="G20" s="5" t="s">
        <v>36</v>
      </c>
      <c r="H20" s="6">
        <v>2.0</v>
      </c>
      <c r="I20" s="7">
        <f t="shared" si="1"/>
        <v>0</v>
      </c>
      <c r="J20" s="6">
        <v>2.0</v>
      </c>
      <c r="K20" s="7">
        <f t="shared" si="2"/>
        <v>0</v>
      </c>
      <c r="L20" s="6">
        <v>2.0</v>
      </c>
      <c r="M20" s="7">
        <f t="shared" si="3"/>
        <v>0</v>
      </c>
      <c r="N20" s="6">
        <v>2.0</v>
      </c>
      <c r="O20" s="7">
        <f t="shared" si="4"/>
        <v>0</v>
      </c>
      <c r="P20" s="6">
        <v>2.0</v>
      </c>
      <c r="Q20" s="7">
        <f t="shared" si="5"/>
        <v>0</v>
      </c>
      <c r="R20" s="6">
        <v>2.0</v>
      </c>
      <c r="S20" s="7">
        <f t="shared" si="6"/>
        <v>0</v>
      </c>
      <c r="T20" s="6">
        <v>2.0</v>
      </c>
      <c r="U20" s="7">
        <f t="shared" si="7"/>
        <v>0</v>
      </c>
      <c r="V20" s="6">
        <v>2.0</v>
      </c>
      <c r="W20" s="7">
        <f t="shared" si="8"/>
        <v>0</v>
      </c>
      <c r="X20" s="6">
        <v>2.0</v>
      </c>
      <c r="Y20" s="7">
        <f t="shared" si="9"/>
        <v>0</v>
      </c>
      <c r="Z20" s="6">
        <v>2.0</v>
      </c>
      <c r="AA20" s="7">
        <f t="shared" si="10"/>
        <v>0</v>
      </c>
      <c r="AB20" s="6">
        <v>2.0</v>
      </c>
      <c r="AC20" s="7">
        <f t="shared" si="11"/>
        <v>0</v>
      </c>
      <c r="AD20" s="6" t="s">
        <v>36</v>
      </c>
      <c r="AE20" s="7">
        <f t="shared" si="12"/>
        <v>1</v>
      </c>
      <c r="AF20" s="6">
        <v>2.0</v>
      </c>
      <c r="AG20" s="7">
        <f t="shared" si="13"/>
        <v>0</v>
      </c>
      <c r="AH20" s="6">
        <v>2.0</v>
      </c>
      <c r="AI20" s="7">
        <f t="shared" si="14"/>
        <v>0</v>
      </c>
      <c r="AJ20" s="6">
        <v>2.0</v>
      </c>
      <c r="AK20" s="7">
        <f t="shared" si="15"/>
        <v>0</v>
      </c>
      <c r="AL20" s="6">
        <v>2.0</v>
      </c>
      <c r="AM20" s="7">
        <f t="shared" si="16"/>
        <v>0</v>
      </c>
      <c r="AN20" s="6">
        <v>2.0</v>
      </c>
      <c r="AO20" s="7">
        <f t="shared" si="17"/>
        <v>0</v>
      </c>
      <c r="AP20" s="6">
        <v>2.0</v>
      </c>
      <c r="AQ20" s="7">
        <f t="shared" si="18"/>
        <v>0</v>
      </c>
      <c r="AR20" s="6">
        <v>2.0</v>
      </c>
      <c r="AS20" s="7">
        <f t="shared" si="19"/>
        <v>0</v>
      </c>
      <c r="AT20" s="6">
        <v>2.0</v>
      </c>
      <c r="AU20" s="7">
        <f t="shared" si="20"/>
        <v>0</v>
      </c>
      <c r="AV20" s="6">
        <v>2.0</v>
      </c>
      <c r="AW20" s="7">
        <f t="shared" si="21"/>
        <v>0</v>
      </c>
    </row>
    <row r="21" ht="18.0" customHeight="1">
      <c r="A21" s="3">
        <v>19.0</v>
      </c>
      <c r="B21" s="3" t="s">
        <v>91</v>
      </c>
      <c r="C21" s="3" t="s">
        <v>45</v>
      </c>
      <c r="D21" s="1" t="s">
        <v>94</v>
      </c>
      <c r="E21" s="4" t="s">
        <v>95</v>
      </c>
      <c r="F21" s="4" t="s">
        <v>96</v>
      </c>
      <c r="G21" s="5" t="s">
        <v>36</v>
      </c>
      <c r="H21" s="6">
        <v>1.0</v>
      </c>
      <c r="I21" s="7">
        <f t="shared" si="1"/>
        <v>0</v>
      </c>
      <c r="J21" s="6">
        <v>1.0</v>
      </c>
      <c r="K21" s="7">
        <f t="shared" si="2"/>
        <v>0</v>
      </c>
      <c r="L21" s="6">
        <v>1.0</v>
      </c>
      <c r="M21" s="7">
        <f t="shared" si="3"/>
        <v>0</v>
      </c>
      <c r="N21" s="6">
        <v>1.0</v>
      </c>
      <c r="O21" s="7">
        <f t="shared" si="4"/>
        <v>0</v>
      </c>
      <c r="P21" s="6">
        <v>1.0</v>
      </c>
      <c r="Q21" s="7">
        <f t="shared" si="5"/>
        <v>0</v>
      </c>
      <c r="R21" s="6">
        <v>1.0</v>
      </c>
      <c r="S21" s="7">
        <f t="shared" si="6"/>
        <v>0</v>
      </c>
      <c r="T21" s="6">
        <v>1.0</v>
      </c>
      <c r="U21" s="7">
        <f t="shared" si="7"/>
        <v>0</v>
      </c>
      <c r="V21" s="6" t="s">
        <v>36</v>
      </c>
      <c r="W21" s="7">
        <f t="shared" si="8"/>
        <v>1</v>
      </c>
      <c r="X21" s="6">
        <v>1.0</v>
      </c>
      <c r="Y21" s="7">
        <f t="shared" si="9"/>
        <v>0</v>
      </c>
      <c r="Z21" s="6">
        <v>1.0</v>
      </c>
      <c r="AA21" s="7">
        <f t="shared" si="10"/>
        <v>0</v>
      </c>
      <c r="AB21" s="6">
        <v>1.0</v>
      </c>
      <c r="AC21" s="7">
        <f t="shared" si="11"/>
        <v>0</v>
      </c>
      <c r="AD21" s="6">
        <v>1.0</v>
      </c>
      <c r="AE21" s="7">
        <f t="shared" si="12"/>
        <v>0</v>
      </c>
      <c r="AF21" s="6">
        <v>1.0</v>
      </c>
      <c r="AG21" s="7">
        <f t="shared" si="13"/>
        <v>0</v>
      </c>
      <c r="AH21" s="6">
        <v>1.0</v>
      </c>
      <c r="AI21" s="7">
        <f t="shared" si="14"/>
        <v>0</v>
      </c>
      <c r="AJ21" s="6">
        <v>1.0</v>
      </c>
      <c r="AK21" s="7">
        <f t="shared" si="15"/>
        <v>0</v>
      </c>
      <c r="AL21" s="6">
        <v>1.0</v>
      </c>
      <c r="AM21" s="7">
        <f t="shared" si="16"/>
        <v>0</v>
      </c>
      <c r="AN21" s="6">
        <v>1.0</v>
      </c>
      <c r="AO21" s="7">
        <f t="shared" si="17"/>
        <v>0</v>
      </c>
      <c r="AP21" s="6">
        <v>1.0</v>
      </c>
      <c r="AQ21" s="7">
        <f t="shared" si="18"/>
        <v>0</v>
      </c>
      <c r="AR21" s="6">
        <v>1.0</v>
      </c>
      <c r="AS21" s="7">
        <f t="shared" si="19"/>
        <v>0</v>
      </c>
      <c r="AT21" s="6">
        <v>1.0</v>
      </c>
      <c r="AU21" s="7">
        <f t="shared" si="20"/>
        <v>0</v>
      </c>
      <c r="AV21" s="6">
        <v>1.0</v>
      </c>
      <c r="AW21" s="7">
        <f t="shared" si="21"/>
        <v>0</v>
      </c>
    </row>
    <row r="22" ht="18.0" customHeight="1">
      <c r="A22" s="3">
        <v>20.0</v>
      </c>
      <c r="B22" s="3" t="s">
        <v>91</v>
      </c>
      <c r="C22" s="3" t="s">
        <v>59</v>
      </c>
      <c r="D22" s="1" t="s">
        <v>94</v>
      </c>
      <c r="E22" s="4" t="s">
        <v>97</v>
      </c>
      <c r="F22" s="4" t="s">
        <v>98</v>
      </c>
      <c r="G22" s="5" t="s">
        <v>36</v>
      </c>
      <c r="H22" s="6" t="s">
        <v>36</v>
      </c>
      <c r="I22" s="7">
        <f t="shared" si="1"/>
        <v>1</v>
      </c>
      <c r="J22" s="6">
        <v>1.0</v>
      </c>
      <c r="K22" s="7">
        <f t="shared" si="2"/>
        <v>0</v>
      </c>
      <c r="L22" s="6" t="s">
        <v>36</v>
      </c>
      <c r="M22" s="7">
        <f t="shared" si="3"/>
        <v>1</v>
      </c>
      <c r="N22" s="6">
        <v>1.0</v>
      </c>
      <c r="O22" s="7">
        <f t="shared" si="4"/>
        <v>0</v>
      </c>
      <c r="P22" s="6">
        <v>1.0</v>
      </c>
      <c r="Q22" s="7">
        <f t="shared" si="5"/>
        <v>0</v>
      </c>
      <c r="R22" s="6">
        <v>1.0</v>
      </c>
      <c r="S22" s="7">
        <f t="shared" si="6"/>
        <v>0</v>
      </c>
      <c r="T22" s="6">
        <v>1.0</v>
      </c>
      <c r="U22" s="7">
        <f t="shared" si="7"/>
        <v>0</v>
      </c>
      <c r="V22" s="6">
        <v>1.0</v>
      </c>
      <c r="W22" s="7">
        <f t="shared" si="8"/>
        <v>0</v>
      </c>
      <c r="X22" s="6">
        <v>1.0</v>
      </c>
      <c r="Y22" s="7">
        <f t="shared" si="9"/>
        <v>0</v>
      </c>
      <c r="Z22" s="6">
        <v>1.0</v>
      </c>
      <c r="AA22" s="7">
        <f t="shared" si="10"/>
        <v>0</v>
      </c>
      <c r="AB22" s="6" t="s">
        <v>36</v>
      </c>
      <c r="AC22" s="7">
        <f t="shared" si="11"/>
        <v>1</v>
      </c>
      <c r="AD22" s="6" t="s">
        <v>36</v>
      </c>
      <c r="AE22" s="7">
        <f t="shared" si="12"/>
        <v>1</v>
      </c>
      <c r="AF22" s="6">
        <v>1.0</v>
      </c>
      <c r="AG22" s="7">
        <f t="shared" si="13"/>
        <v>0</v>
      </c>
      <c r="AH22" s="6">
        <v>1.0</v>
      </c>
      <c r="AI22" s="7">
        <f t="shared" si="14"/>
        <v>0</v>
      </c>
      <c r="AJ22" s="6">
        <v>1.0</v>
      </c>
      <c r="AK22" s="7">
        <f t="shared" si="15"/>
        <v>0</v>
      </c>
      <c r="AL22" s="6" t="s">
        <v>36</v>
      </c>
      <c r="AM22" s="7">
        <f t="shared" si="16"/>
        <v>1</v>
      </c>
      <c r="AN22" s="6">
        <v>1.0</v>
      </c>
      <c r="AO22" s="7">
        <f t="shared" si="17"/>
        <v>0</v>
      </c>
      <c r="AP22" s="6">
        <v>1.0</v>
      </c>
      <c r="AQ22" s="7">
        <f t="shared" si="18"/>
        <v>0</v>
      </c>
      <c r="AR22" s="6">
        <v>1.0</v>
      </c>
      <c r="AS22" s="7">
        <f t="shared" si="19"/>
        <v>0</v>
      </c>
      <c r="AT22" s="6">
        <v>1.0</v>
      </c>
      <c r="AU22" s="7">
        <f t="shared" si="20"/>
        <v>0</v>
      </c>
      <c r="AV22" s="6">
        <v>1.0</v>
      </c>
      <c r="AW22" s="7">
        <f t="shared" si="21"/>
        <v>0</v>
      </c>
    </row>
    <row r="23" ht="18.0" customHeight="1">
      <c r="A23" s="3">
        <v>21.0</v>
      </c>
      <c r="B23" s="3" t="s">
        <v>91</v>
      </c>
      <c r="C23" s="3" t="s">
        <v>62</v>
      </c>
      <c r="D23" s="1" t="s">
        <v>99</v>
      </c>
      <c r="E23" s="4" t="s">
        <v>100</v>
      </c>
      <c r="F23" s="4" t="s">
        <v>101</v>
      </c>
      <c r="G23" s="5" t="s">
        <v>36</v>
      </c>
      <c r="H23" s="6">
        <v>1.0</v>
      </c>
      <c r="I23" s="7">
        <f t="shared" si="1"/>
        <v>0</v>
      </c>
      <c r="J23" s="6">
        <v>1.0</v>
      </c>
      <c r="K23" s="7">
        <f t="shared" si="2"/>
        <v>0</v>
      </c>
      <c r="L23" s="6">
        <v>1.0</v>
      </c>
      <c r="M23" s="7">
        <f t="shared" si="3"/>
        <v>0</v>
      </c>
      <c r="N23" s="6">
        <v>1.0</v>
      </c>
      <c r="O23" s="7">
        <f t="shared" si="4"/>
        <v>0</v>
      </c>
      <c r="P23" s="6">
        <v>1.0</v>
      </c>
      <c r="Q23" s="7">
        <f t="shared" si="5"/>
        <v>0</v>
      </c>
      <c r="R23" s="6">
        <v>1.0</v>
      </c>
      <c r="S23" s="7">
        <f t="shared" si="6"/>
        <v>0</v>
      </c>
      <c r="T23" s="6">
        <v>1.0</v>
      </c>
      <c r="U23" s="7">
        <f t="shared" si="7"/>
        <v>0</v>
      </c>
      <c r="V23" s="6">
        <v>1.0</v>
      </c>
      <c r="W23" s="7">
        <f t="shared" si="8"/>
        <v>0</v>
      </c>
      <c r="X23" s="6">
        <v>1.0</v>
      </c>
      <c r="Y23" s="7">
        <f t="shared" si="9"/>
        <v>0</v>
      </c>
      <c r="Z23" s="6">
        <v>1.0</v>
      </c>
      <c r="AA23" s="7">
        <f t="shared" si="10"/>
        <v>0</v>
      </c>
      <c r="AB23" s="6">
        <v>1.0</v>
      </c>
      <c r="AC23" s="7">
        <f t="shared" si="11"/>
        <v>0</v>
      </c>
      <c r="AD23" s="6">
        <v>1.0</v>
      </c>
      <c r="AE23" s="7">
        <f t="shared" si="12"/>
        <v>0</v>
      </c>
      <c r="AF23" s="6">
        <v>1.0</v>
      </c>
      <c r="AG23" s="7">
        <f t="shared" si="13"/>
        <v>0</v>
      </c>
      <c r="AH23" s="6">
        <v>1.0</v>
      </c>
      <c r="AI23" s="7">
        <f t="shared" si="14"/>
        <v>0</v>
      </c>
      <c r="AJ23" s="6">
        <v>1.0</v>
      </c>
      <c r="AK23" s="7">
        <f t="shared" si="15"/>
        <v>0</v>
      </c>
      <c r="AL23" s="6">
        <v>1.0</v>
      </c>
      <c r="AM23" s="7">
        <f t="shared" si="16"/>
        <v>0</v>
      </c>
      <c r="AN23" s="6">
        <v>1.0</v>
      </c>
      <c r="AO23" s="7">
        <f t="shared" si="17"/>
        <v>0</v>
      </c>
      <c r="AP23" s="6">
        <v>1.0</v>
      </c>
      <c r="AQ23" s="7">
        <f t="shared" si="18"/>
        <v>0</v>
      </c>
      <c r="AR23" s="6">
        <v>1.0</v>
      </c>
      <c r="AS23" s="7">
        <f t="shared" si="19"/>
        <v>0</v>
      </c>
      <c r="AT23" s="6">
        <v>1.0</v>
      </c>
      <c r="AU23" s="7">
        <f t="shared" si="20"/>
        <v>0</v>
      </c>
      <c r="AV23" s="6">
        <v>1.0</v>
      </c>
      <c r="AW23" s="7">
        <f t="shared" si="21"/>
        <v>0</v>
      </c>
    </row>
    <row r="24" ht="18.0" customHeight="1">
      <c r="A24" s="3">
        <v>22.0</v>
      </c>
      <c r="B24" s="3" t="s">
        <v>91</v>
      </c>
      <c r="C24" s="3" t="s">
        <v>66</v>
      </c>
      <c r="D24" s="1" t="s">
        <v>102</v>
      </c>
      <c r="E24" s="4" t="s">
        <v>103</v>
      </c>
      <c r="F24" s="4" t="s">
        <v>104</v>
      </c>
      <c r="G24" s="5" t="s">
        <v>36</v>
      </c>
      <c r="H24" s="6">
        <v>1.0</v>
      </c>
      <c r="I24" s="7">
        <f t="shared" si="1"/>
        <v>0</v>
      </c>
      <c r="J24" s="6">
        <v>1.0</v>
      </c>
      <c r="K24" s="7">
        <f t="shared" si="2"/>
        <v>0</v>
      </c>
      <c r="L24" s="6">
        <v>1.0</v>
      </c>
      <c r="M24" s="7">
        <f t="shared" si="3"/>
        <v>0</v>
      </c>
      <c r="N24" s="6" t="s">
        <v>36</v>
      </c>
      <c r="O24" s="7">
        <f t="shared" si="4"/>
        <v>1</v>
      </c>
      <c r="P24" s="6" t="s">
        <v>36</v>
      </c>
      <c r="Q24" s="7">
        <f t="shared" si="5"/>
        <v>1</v>
      </c>
      <c r="R24" s="6">
        <v>1.0</v>
      </c>
      <c r="S24" s="7">
        <f t="shared" si="6"/>
        <v>0</v>
      </c>
      <c r="T24" s="6">
        <v>1.0</v>
      </c>
      <c r="U24" s="7">
        <f t="shared" si="7"/>
        <v>0</v>
      </c>
      <c r="V24" s="6" t="s">
        <v>36</v>
      </c>
      <c r="W24" s="7">
        <f t="shared" si="8"/>
        <v>1</v>
      </c>
      <c r="X24" s="6" t="s">
        <v>36</v>
      </c>
      <c r="Y24" s="7">
        <f t="shared" si="9"/>
        <v>1</v>
      </c>
      <c r="Z24" s="6">
        <v>1.0</v>
      </c>
      <c r="AA24" s="7">
        <f t="shared" si="10"/>
        <v>0</v>
      </c>
      <c r="AB24" s="6" t="s">
        <v>36</v>
      </c>
      <c r="AC24" s="7">
        <f t="shared" si="11"/>
        <v>1</v>
      </c>
      <c r="AD24" s="6">
        <v>1.0</v>
      </c>
      <c r="AE24" s="7">
        <f t="shared" si="12"/>
        <v>0</v>
      </c>
      <c r="AF24" s="6" t="s">
        <v>49</v>
      </c>
      <c r="AG24" s="7">
        <f t="shared" si="13"/>
        <v>1</v>
      </c>
      <c r="AH24" s="6">
        <v>1.0</v>
      </c>
      <c r="AI24" s="7">
        <f t="shared" si="14"/>
        <v>0</v>
      </c>
      <c r="AJ24" s="6" t="s">
        <v>36</v>
      </c>
      <c r="AK24" s="7">
        <f t="shared" si="15"/>
        <v>1</v>
      </c>
      <c r="AL24" s="6">
        <v>2.0</v>
      </c>
      <c r="AM24" s="7">
        <f t="shared" si="16"/>
        <v>0</v>
      </c>
      <c r="AN24" s="6" t="s">
        <v>36</v>
      </c>
      <c r="AO24" s="7">
        <f t="shared" si="17"/>
        <v>1</v>
      </c>
      <c r="AP24" s="6">
        <v>1.0</v>
      </c>
      <c r="AQ24" s="7">
        <f t="shared" si="18"/>
        <v>0</v>
      </c>
      <c r="AR24" s="6">
        <v>1.0</v>
      </c>
      <c r="AS24" s="7">
        <f t="shared" si="19"/>
        <v>0</v>
      </c>
      <c r="AT24" s="6">
        <v>1.0</v>
      </c>
      <c r="AU24" s="7">
        <f t="shared" si="20"/>
        <v>0</v>
      </c>
      <c r="AV24" s="6">
        <v>1.0</v>
      </c>
      <c r="AW24" s="7">
        <f t="shared" si="21"/>
        <v>0</v>
      </c>
    </row>
    <row r="25" ht="18.0" customHeight="1">
      <c r="A25" s="3">
        <v>23.0</v>
      </c>
      <c r="B25" s="3" t="s">
        <v>105</v>
      </c>
      <c r="C25" s="3" t="s">
        <v>71</v>
      </c>
      <c r="D25" s="1" t="s">
        <v>102</v>
      </c>
      <c r="E25" s="4" t="s">
        <v>106</v>
      </c>
      <c r="F25" s="4" t="s">
        <v>107</v>
      </c>
      <c r="G25" s="5" t="s">
        <v>36</v>
      </c>
      <c r="H25" s="6" t="s">
        <v>36</v>
      </c>
      <c r="I25" s="7">
        <f t="shared" si="1"/>
        <v>1</v>
      </c>
      <c r="J25" s="6">
        <v>1.0</v>
      </c>
      <c r="K25" s="7">
        <f t="shared" si="2"/>
        <v>0</v>
      </c>
      <c r="L25" s="6" t="s">
        <v>36</v>
      </c>
      <c r="M25" s="7">
        <f t="shared" si="3"/>
        <v>1</v>
      </c>
      <c r="N25" s="6">
        <v>1.0</v>
      </c>
      <c r="O25" s="7">
        <f t="shared" si="4"/>
        <v>0</v>
      </c>
      <c r="P25" s="6" t="s">
        <v>36</v>
      </c>
      <c r="Q25" s="7">
        <f t="shared" si="5"/>
        <v>1</v>
      </c>
      <c r="R25" s="6">
        <v>1.0</v>
      </c>
      <c r="S25" s="7">
        <f t="shared" si="6"/>
        <v>0</v>
      </c>
      <c r="T25" s="6">
        <v>1.0</v>
      </c>
      <c r="U25" s="7">
        <f t="shared" si="7"/>
        <v>0</v>
      </c>
      <c r="V25" s="6">
        <v>1.0</v>
      </c>
      <c r="W25" s="7">
        <f t="shared" si="8"/>
        <v>0</v>
      </c>
      <c r="X25" s="6">
        <v>1.0</v>
      </c>
      <c r="Y25" s="7">
        <f t="shared" si="9"/>
        <v>0</v>
      </c>
      <c r="Z25" s="6" t="s">
        <v>36</v>
      </c>
      <c r="AA25" s="7">
        <f t="shared" si="10"/>
        <v>1</v>
      </c>
      <c r="AB25" s="6">
        <v>1.0</v>
      </c>
      <c r="AC25" s="7">
        <f t="shared" si="11"/>
        <v>0</v>
      </c>
      <c r="AD25" s="6" t="s">
        <v>36</v>
      </c>
      <c r="AE25" s="7">
        <f t="shared" si="12"/>
        <v>1</v>
      </c>
      <c r="AF25" s="6">
        <v>2.0</v>
      </c>
      <c r="AG25" s="7">
        <f t="shared" si="13"/>
        <v>0</v>
      </c>
      <c r="AH25" s="6" t="s">
        <v>36</v>
      </c>
      <c r="AI25" s="7">
        <f t="shared" si="14"/>
        <v>1</v>
      </c>
      <c r="AJ25" s="6">
        <v>1.0</v>
      </c>
      <c r="AK25" s="7">
        <f t="shared" si="15"/>
        <v>0</v>
      </c>
      <c r="AL25" s="6">
        <v>1.0</v>
      </c>
      <c r="AM25" s="7">
        <f t="shared" si="16"/>
        <v>0</v>
      </c>
      <c r="AN25" s="6">
        <v>1.0</v>
      </c>
      <c r="AO25" s="7">
        <f t="shared" si="17"/>
        <v>0</v>
      </c>
      <c r="AP25" s="6">
        <v>2.0</v>
      </c>
      <c r="AQ25" s="7">
        <f t="shared" si="18"/>
        <v>0</v>
      </c>
      <c r="AR25" s="6">
        <v>2.0</v>
      </c>
      <c r="AS25" s="7">
        <f t="shared" si="19"/>
        <v>0</v>
      </c>
      <c r="AT25" s="6">
        <v>1.0</v>
      </c>
      <c r="AU25" s="7">
        <f t="shared" si="20"/>
        <v>0</v>
      </c>
      <c r="AV25" s="6">
        <v>1.0</v>
      </c>
      <c r="AW25" s="7">
        <f t="shared" si="21"/>
        <v>0</v>
      </c>
    </row>
    <row r="26" ht="18.0" customHeight="1">
      <c r="A26" s="3">
        <v>24.0</v>
      </c>
      <c r="B26" s="3" t="s">
        <v>105</v>
      </c>
      <c r="C26" s="3" t="s">
        <v>38</v>
      </c>
      <c r="D26" s="1" t="s">
        <v>99</v>
      </c>
      <c r="E26" s="4" t="s">
        <v>108</v>
      </c>
      <c r="F26" s="4" t="s">
        <v>109</v>
      </c>
      <c r="G26" s="5"/>
      <c r="H26" s="6">
        <v>1.0</v>
      </c>
      <c r="I26" s="7" t="str">
        <f t="shared" si="1"/>
        <v/>
      </c>
      <c r="J26" s="6">
        <v>2.0</v>
      </c>
      <c r="K26" s="7" t="str">
        <f t="shared" si="2"/>
        <v/>
      </c>
      <c r="L26" s="6">
        <v>2.0</v>
      </c>
      <c r="M26" s="7" t="str">
        <f t="shared" si="3"/>
        <v/>
      </c>
      <c r="N26" s="6" t="s">
        <v>36</v>
      </c>
      <c r="O26" s="7" t="str">
        <f t="shared" si="4"/>
        <v/>
      </c>
      <c r="P26" s="6">
        <v>2.0</v>
      </c>
      <c r="Q26" s="7" t="str">
        <f t="shared" si="5"/>
        <v/>
      </c>
      <c r="R26" s="6">
        <v>2.0</v>
      </c>
      <c r="S26" s="7" t="str">
        <f t="shared" si="6"/>
        <v/>
      </c>
      <c r="T26" s="6">
        <v>2.0</v>
      </c>
      <c r="U26" s="7" t="str">
        <f t="shared" si="7"/>
        <v/>
      </c>
      <c r="V26" s="6">
        <v>1.0</v>
      </c>
      <c r="W26" s="7" t="str">
        <f t="shared" si="8"/>
        <v/>
      </c>
      <c r="X26" s="6">
        <v>2.0</v>
      </c>
      <c r="Y26" s="7" t="str">
        <f t="shared" si="9"/>
        <v/>
      </c>
      <c r="Z26" s="6">
        <v>2.0</v>
      </c>
      <c r="AA26" s="7" t="str">
        <f t="shared" si="10"/>
        <v/>
      </c>
      <c r="AB26" s="6">
        <v>1.0</v>
      </c>
      <c r="AC26" s="7" t="str">
        <f t="shared" si="11"/>
        <v/>
      </c>
      <c r="AD26" s="6">
        <v>1.0</v>
      </c>
      <c r="AE26" s="7" t="str">
        <f t="shared" si="12"/>
        <v/>
      </c>
      <c r="AF26" s="6">
        <v>1.0</v>
      </c>
      <c r="AG26" s="7" t="str">
        <f t="shared" si="13"/>
        <v/>
      </c>
      <c r="AH26" s="6">
        <v>2.0</v>
      </c>
      <c r="AI26" s="7" t="str">
        <f t="shared" si="14"/>
        <v/>
      </c>
      <c r="AJ26" s="6">
        <v>2.0</v>
      </c>
      <c r="AK26" s="7" t="str">
        <f t="shared" si="15"/>
        <v/>
      </c>
      <c r="AL26" s="6">
        <v>2.0</v>
      </c>
      <c r="AM26" s="7" t="str">
        <f t="shared" si="16"/>
        <v/>
      </c>
      <c r="AN26" s="6">
        <v>2.0</v>
      </c>
      <c r="AO26" s="7" t="str">
        <f t="shared" si="17"/>
        <v/>
      </c>
      <c r="AP26" s="6">
        <v>2.0</v>
      </c>
      <c r="AQ26" s="7" t="str">
        <f t="shared" si="18"/>
        <v/>
      </c>
      <c r="AR26" s="6">
        <v>2.0</v>
      </c>
      <c r="AS26" s="7" t="str">
        <f t="shared" si="19"/>
        <v/>
      </c>
      <c r="AT26" s="6">
        <v>2.0</v>
      </c>
      <c r="AU26" s="7" t="str">
        <f t="shared" si="20"/>
        <v/>
      </c>
      <c r="AV26" s="6">
        <v>2.0</v>
      </c>
      <c r="AW26" s="7" t="str">
        <f t="shared" si="21"/>
        <v/>
      </c>
    </row>
    <row r="27" ht="18.0" customHeight="1">
      <c r="A27" s="3">
        <v>25.0</v>
      </c>
      <c r="B27" s="3" t="s">
        <v>105</v>
      </c>
      <c r="C27" s="3" t="s">
        <v>76</v>
      </c>
      <c r="D27" s="1" t="s">
        <v>33</v>
      </c>
      <c r="E27" s="4" t="s">
        <v>40</v>
      </c>
      <c r="F27" s="4" t="s">
        <v>35</v>
      </c>
      <c r="G27" s="5"/>
      <c r="H27" s="6">
        <v>1.0</v>
      </c>
      <c r="I27" s="7" t="str">
        <f t="shared" si="1"/>
        <v/>
      </c>
      <c r="J27" s="6">
        <v>1.0</v>
      </c>
      <c r="K27" s="7" t="str">
        <f t="shared" si="2"/>
        <v/>
      </c>
      <c r="L27" s="6">
        <v>2.0</v>
      </c>
      <c r="M27" s="7" t="str">
        <f t="shared" si="3"/>
        <v/>
      </c>
      <c r="N27" s="6">
        <v>2.0</v>
      </c>
      <c r="O27" s="7" t="str">
        <f t="shared" si="4"/>
        <v/>
      </c>
      <c r="P27" s="6">
        <v>1.0</v>
      </c>
      <c r="Q27" s="7" t="str">
        <f t="shared" si="5"/>
        <v/>
      </c>
      <c r="R27" s="6" t="s">
        <v>36</v>
      </c>
      <c r="S27" s="7" t="str">
        <f t="shared" si="6"/>
        <v/>
      </c>
      <c r="T27" s="6" t="s">
        <v>36</v>
      </c>
      <c r="U27" s="7" t="str">
        <f t="shared" si="7"/>
        <v/>
      </c>
      <c r="V27" s="6">
        <v>1.0</v>
      </c>
      <c r="W27" s="7" t="str">
        <f t="shared" si="8"/>
        <v/>
      </c>
      <c r="X27" s="6">
        <v>1.0</v>
      </c>
      <c r="Y27" s="7" t="str">
        <f t="shared" si="9"/>
        <v/>
      </c>
      <c r="Z27" s="6">
        <v>2.0</v>
      </c>
      <c r="AA27" s="7" t="str">
        <f t="shared" si="10"/>
        <v/>
      </c>
      <c r="AB27" s="6" t="s">
        <v>36</v>
      </c>
      <c r="AC27" s="7" t="str">
        <f t="shared" si="11"/>
        <v/>
      </c>
      <c r="AD27" s="6" t="s">
        <v>36</v>
      </c>
      <c r="AE27" s="7" t="str">
        <f t="shared" si="12"/>
        <v/>
      </c>
      <c r="AF27" s="6">
        <v>2.0</v>
      </c>
      <c r="AG27" s="7" t="str">
        <f t="shared" si="13"/>
        <v/>
      </c>
      <c r="AH27" s="6">
        <v>1.0</v>
      </c>
      <c r="AI27" s="7" t="str">
        <f t="shared" si="14"/>
        <v/>
      </c>
      <c r="AJ27" s="6">
        <v>2.0</v>
      </c>
      <c r="AK27" s="7" t="str">
        <f t="shared" si="15"/>
        <v/>
      </c>
      <c r="AL27" s="6">
        <v>1.0</v>
      </c>
      <c r="AM27" s="7" t="str">
        <f t="shared" si="16"/>
        <v/>
      </c>
      <c r="AN27" s="6">
        <v>1.0</v>
      </c>
      <c r="AO27" s="7" t="str">
        <f t="shared" si="17"/>
        <v/>
      </c>
      <c r="AP27" s="6">
        <v>1.0</v>
      </c>
      <c r="AQ27" s="7" t="str">
        <f t="shared" si="18"/>
        <v/>
      </c>
      <c r="AR27" s="6">
        <v>1.0</v>
      </c>
      <c r="AS27" s="7" t="str">
        <f t="shared" si="19"/>
        <v/>
      </c>
      <c r="AT27" s="6">
        <v>1.0</v>
      </c>
      <c r="AU27" s="7" t="str">
        <f t="shared" si="20"/>
        <v/>
      </c>
      <c r="AV27" s="6">
        <v>1.0</v>
      </c>
      <c r="AW27" s="7" t="str">
        <f t="shared" si="21"/>
        <v/>
      </c>
    </row>
    <row r="28" ht="18.0" customHeight="1">
      <c r="A28" s="3">
        <v>26.0</v>
      </c>
      <c r="B28" s="3" t="s">
        <v>105</v>
      </c>
      <c r="C28" s="3" t="s">
        <v>32</v>
      </c>
      <c r="D28" s="1" t="s">
        <v>41</v>
      </c>
      <c r="E28" s="4" t="s">
        <v>51</v>
      </c>
      <c r="F28" s="4" t="s">
        <v>43</v>
      </c>
      <c r="G28" s="5"/>
      <c r="H28" s="6">
        <v>2.0</v>
      </c>
      <c r="I28" s="7" t="str">
        <f t="shared" si="1"/>
        <v/>
      </c>
      <c r="J28" s="6" t="s">
        <v>36</v>
      </c>
      <c r="K28" s="7" t="str">
        <f t="shared" si="2"/>
        <v/>
      </c>
      <c r="L28" s="6">
        <v>1.0</v>
      </c>
      <c r="M28" s="7" t="str">
        <f t="shared" si="3"/>
        <v/>
      </c>
      <c r="N28" s="6">
        <v>1.0</v>
      </c>
      <c r="O28" s="7" t="str">
        <f t="shared" si="4"/>
        <v/>
      </c>
      <c r="P28" s="6">
        <v>1.0</v>
      </c>
      <c r="Q28" s="7" t="str">
        <f t="shared" si="5"/>
        <v/>
      </c>
      <c r="R28" s="6" t="s">
        <v>36</v>
      </c>
      <c r="S28" s="7" t="str">
        <f t="shared" si="6"/>
        <v/>
      </c>
      <c r="T28" s="6">
        <v>1.0</v>
      </c>
      <c r="U28" s="7" t="str">
        <f t="shared" si="7"/>
        <v/>
      </c>
      <c r="V28" s="6" t="s">
        <v>36</v>
      </c>
      <c r="W28" s="7" t="str">
        <f t="shared" si="8"/>
        <v/>
      </c>
      <c r="X28" s="6">
        <v>1.0</v>
      </c>
      <c r="Y28" s="7" t="str">
        <f t="shared" si="9"/>
        <v/>
      </c>
      <c r="Z28" s="6">
        <v>1.0</v>
      </c>
      <c r="AA28" s="7" t="str">
        <f t="shared" si="10"/>
        <v/>
      </c>
      <c r="AB28" s="6">
        <v>1.0</v>
      </c>
      <c r="AC28" s="7" t="str">
        <f t="shared" si="11"/>
        <v/>
      </c>
      <c r="AD28" s="6" t="s">
        <v>36</v>
      </c>
      <c r="AE28" s="7" t="str">
        <f t="shared" si="12"/>
        <v/>
      </c>
      <c r="AF28" s="6">
        <v>1.0</v>
      </c>
      <c r="AG28" s="7" t="str">
        <f t="shared" si="13"/>
        <v/>
      </c>
      <c r="AH28" s="6">
        <v>1.0</v>
      </c>
      <c r="AI28" s="7" t="str">
        <f t="shared" si="14"/>
        <v/>
      </c>
      <c r="AJ28" s="6">
        <v>1.0</v>
      </c>
      <c r="AK28" s="7" t="str">
        <f t="shared" si="15"/>
        <v/>
      </c>
      <c r="AL28" s="6">
        <v>1.0</v>
      </c>
      <c r="AM28" s="7" t="str">
        <f t="shared" si="16"/>
        <v/>
      </c>
      <c r="AN28" s="6">
        <v>2.0</v>
      </c>
      <c r="AO28" s="7" t="str">
        <f t="shared" si="17"/>
        <v/>
      </c>
      <c r="AP28" s="6">
        <v>1.0</v>
      </c>
      <c r="AQ28" s="7" t="str">
        <f t="shared" si="18"/>
        <v/>
      </c>
      <c r="AR28" s="6">
        <v>1.0</v>
      </c>
      <c r="AS28" s="7" t="str">
        <f t="shared" si="19"/>
        <v/>
      </c>
      <c r="AT28" s="6">
        <v>2.0</v>
      </c>
      <c r="AU28" s="7" t="str">
        <f t="shared" si="20"/>
        <v/>
      </c>
      <c r="AV28" s="6" t="s">
        <v>36</v>
      </c>
      <c r="AW28" s="7" t="str">
        <f t="shared" si="21"/>
        <v/>
      </c>
    </row>
    <row r="29" ht="18.0" customHeight="1">
      <c r="A29" s="3">
        <v>27.0</v>
      </c>
      <c r="B29" s="3" t="s">
        <v>110</v>
      </c>
      <c r="C29" s="3" t="s">
        <v>53</v>
      </c>
      <c r="D29" s="1" t="s">
        <v>41</v>
      </c>
      <c r="E29" s="4" t="s">
        <v>42</v>
      </c>
      <c r="F29" s="4" t="s">
        <v>50</v>
      </c>
      <c r="G29" s="5"/>
      <c r="H29" s="6" t="s">
        <v>36</v>
      </c>
      <c r="I29" s="7" t="str">
        <f t="shared" si="1"/>
        <v/>
      </c>
      <c r="J29" s="6">
        <v>1.0</v>
      </c>
      <c r="K29" s="7" t="str">
        <f t="shared" si="2"/>
        <v/>
      </c>
      <c r="L29" s="6">
        <v>1.0</v>
      </c>
      <c r="M29" s="7" t="str">
        <f t="shared" si="3"/>
        <v/>
      </c>
      <c r="N29" s="6">
        <v>2.0</v>
      </c>
      <c r="O29" s="7" t="str">
        <f t="shared" si="4"/>
        <v/>
      </c>
      <c r="P29" s="6">
        <v>1.0</v>
      </c>
      <c r="Q29" s="7" t="str">
        <f t="shared" si="5"/>
        <v/>
      </c>
      <c r="R29" s="6">
        <v>1.0</v>
      </c>
      <c r="S29" s="7" t="str">
        <f t="shared" si="6"/>
        <v/>
      </c>
      <c r="T29" s="6">
        <v>1.0</v>
      </c>
      <c r="U29" s="7" t="str">
        <f t="shared" si="7"/>
        <v/>
      </c>
      <c r="V29" s="6">
        <v>1.0</v>
      </c>
      <c r="W29" s="7" t="str">
        <f t="shared" si="8"/>
        <v/>
      </c>
      <c r="X29" s="6">
        <v>1.0</v>
      </c>
      <c r="Y29" s="7" t="str">
        <f t="shared" si="9"/>
        <v/>
      </c>
      <c r="Z29" s="6" t="s">
        <v>36</v>
      </c>
      <c r="AA29" s="7" t="str">
        <f t="shared" si="10"/>
        <v/>
      </c>
      <c r="AB29" s="6">
        <v>1.0</v>
      </c>
      <c r="AC29" s="7" t="str">
        <f t="shared" si="11"/>
        <v/>
      </c>
      <c r="AD29" s="6" t="s">
        <v>36</v>
      </c>
      <c r="AE29" s="7" t="str">
        <f t="shared" si="12"/>
        <v/>
      </c>
      <c r="AF29" s="6">
        <v>1.0</v>
      </c>
      <c r="AG29" s="7" t="str">
        <f t="shared" si="13"/>
        <v/>
      </c>
      <c r="AH29" s="6">
        <v>1.0</v>
      </c>
      <c r="AI29" s="7" t="str">
        <f t="shared" si="14"/>
        <v/>
      </c>
      <c r="AJ29" s="6">
        <v>1.0</v>
      </c>
      <c r="AK29" s="7" t="str">
        <f t="shared" si="15"/>
        <v/>
      </c>
      <c r="AL29" s="6">
        <v>1.0</v>
      </c>
      <c r="AM29" s="7" t="str">
        <f t="shared" si="16"/>
        <v/>
      </c>
      <c r="AN29" s="6">
        <v>1.0</v>
      </c>
      <c r="AO29" s="7" t="str">
        <f t="shared" si="17"/>
        <v/>
      </c>
      <c r="AP29" s="6">
        <v>1.0</v>
      </c>
      <c r="AQ29" s="7" t="str">
        <f t="shared" si="18"/>
        <v/>
      </c>
      <c r="AR29" s="6">
        <v>1.0</v>
      </c>
      <c r="AS29" s="7" t="str">
        <f t="shared" si="19"/>
        <v/>
      </c>
      <c r="AT29" s="6">
        <v>1.0</v>
      </c>
      <c r="AU29" s="7" t="str">
        <f t="shared" si="20"/>
        <v/>
      </c>
      <c r="AV29" s="6" t="s">
        <v>36</v>
      </c>
      <c r="AW29" s="7" t="str">
        <f t="shared" si="21"/>
        <v/>
      </c>
    </row>
    <row r="30" ht="18.0" customHeight="1">
      <c r="A30" s="3">
        <v>28.0</v>
      </c>
      <c r="B30" s="3" t="s">
        <v>110</v>
      </c>
      <c r="C30" s="3" t="s">
        <v>45</v>
      </c>
      <c r="D30" s="1" t="s">
        <v>33</v>
      </c>
      <c r="E30" s="4" t="s">
        <v>34</v>
      </c>
      <c r="F30" s="4" t="s">
        <v>39</v>
      </c>
      <c r="G30" s="5"/>
      <c r="H30" s="6" t="s">
        <v>36</v>
      </c>
      <c r="I30" s="7" t="str">
        <f t="shared" si="1"/>
        <v/>
      </c>
      <c r="J30" s="6" t="s">
        <v>36</v>
      </c>
      <c r="K30" s="7" t="str">
        <f t="shared" si="2"/>
        <v/>
      </c>
      <c r="L30" s="6">
        <v>1.0</v>
      </c>
      <c r="M30" s="7" t="str">
        <f t="shared" si="3"/>
        <v/>
      </c>
      <c r="N30" s="6">
        <v>1.0</v>
      </c>
      <c r="O30" s="7" t="str">
        <f t="shared" si="4"/>
        <v/>
      </c>
      <c r="P30" s="6">
        <v>1.0</v>
      </c>
      <c r="Q30" s="7" t="str">
        <f t="shared" si="5"/>
        <v/>
      </c>
      <c r="R30" s="6">
        <v>2.0</v>
      </c>
      <c r="S30" s="7" t="str">
        <f t="shared" si="6"/>
        <v/>
      </c>
      <c r="T30" s="6">
        <v>1.0</v>
      </c>
      <c r="U30" s="7" t="str">
        <f t="shared" si="7"/>
        <v/>
      </c>
      <c r="V30" s="6" t="s">
        <v>36</v>
      </c>
      <c r="W30" s="7" t="str">
        <f t="shared" si="8"/>
        <v/>
      </c>
      <c r="X30" s="6">
        <v>1.0</v>
      </c>
      <c r="Y30" s="7" t="str">
        <f t="shared" si="9"/>
        <v/>
      </c>
      <c r="Z30" s="6">
        <v>1.0</v>
      </c>
      <c r="AA30" s="7" t="str">
        <f t="shared" si="10"/>
        <v/>
      </c>
      <c r="AB30" s="6" t="s">
        <v>36</v>
      </c>
      <c r="AC30" s="7" t="str">
        <f t="shared" si="11"/>
        <v/>
      </c>
      <c r="AD30" s="6">
        <v>1.0</v>
      </c>
      <c r="AE30" s="7" t="str">
        <f t="shared" si="12"/>
        <v/>
      </c>
      <c r="AF30" s="6" t="s">
        <v>49</v>
      </c>
      <c r="AG30" s="7" t="str">
        <f t="shared" si="13"/>
        <v/>
      </c>
      <c r="AH30" s="6">
        <v>1.0</v>
      </c>
      <c r="AI30" s="7" t="str">
        <f t="shared" si="14"/>
        <v/>
      </c>
      <c r="AJ30" s="6">
        <v>1.0</v>
      </c>
      <c r="AK30" s="7" t="str">
        <f t="shared" si="15"/>
        <v/>
      </c>
      <c r="AL30" s="6" t="s">
        <v>36</v>
      </c>
      <c r="AM30" s="7" t="str">
        <f t="shared" si="16"/>
        <v/>
      </c>
      <c r="AN30" s="6">
        <v>1.0</v>
      </c>
      <c r="AO30" s="7" t="str">
        <f t="shared" si="17"/>
        <v/>
      </c>
      <c r="AP30" s="6">
        <v>1.0</v>
      </c>
      <c r="AQ30" s="7" t="str">
        <f t="shared" si="18"/>
        <v/>
      </c>
      <c r="AR30" s="6">
        <v>1.0</v>
      </c>
      <c r="AS30" s="7" t="str">
        <f t="shared" si="19"/>
        <v/>
      </c>
      <c r="AT30" s="6">
        <v>1.0</v>
      </c>
      <c r="AU30" s="7" t="str">
        <f t="shared" si="20"/>
        <v/>
      </c>
      <c r="AV30" s="6">
        <v>1.0</v>
      </c>
      <c r="AW30" s="7" t="str">
        <f t="shared" si="21"/>
        <v/>
      </c>
    </row>
    <row r="31" ht="18.0" customHeight="1">
      <c r="A31" s="3">
        <v>29.0</v>
      </c>
      <c r="B31" s="3" t="s">
        <v>110</v>
      </c>
      <c r="C31" s="3" t="s">
        <v>32</v>
      </c>
      <c r="D31" s="1" t="s">
        <v>46</v>
      </c>
      <c r="E31" s="4" t="s">
        <v>47</v>
      </c>
      <c r="F31" s="4" t="s">
        <v>60</v>
      </c>
      <c r="G31" s="5"/>
      <c r="H31" s="6">
        <v>1.0</v>
      </c>
      <c r="I31" s="7" t="str">
        <f t="shared" si="1"/>
        <v/>
      </c>
      <c r="J31" s="6" t="s">
        <v>36</v>
      </c>
      <c r="K31" s="7" t="str">
        <f t="shared" si="2"/>
        <v/>
      </c>
      <c r="L31" s="6">
        <v>1.0</v>
      </c>
      <c r="M31" s="7" t="str">
        <f t="shared" si="3"/>
        <v/>
      </c>
      <c r="N31" s="6" t="s">
        <v>36</v>
      </c>
      <c r="O31" s="7" t="str">
        <f t="shared" si="4"/>
        <v/>
      </c>
      <c r="P31" s="6">
        <v>1.0</v>
      </c>
      <c r="Q31" s="7" t="str">
        <f t="shared" si="5"/>
        <v/>
      </c>
      <c r="R31" s="6">
        <v>1.0</v>
      </c>
      <c r="S31" s="7" t="str">
        <f t="shared" si="6"/>
        <v/>
      </c>
      <c r="T31" s="6">
        <v>1.0</v>
      </c>
      <c r="U31" s="7" t="str">
        <f t="shared" si="7"/>
        <v/>
      </c>
      <c r="V31" s="6">
        <v>1.0</v>
      </c>
      <c r="W31" s="7" t="str">
        <f t="shared" si="8"/>
        <v/>
      </c>
      <c r="X31" s="6">
        <v>1.0</v>
      </c>
      <c r="Y31" s="7" t="str">
        <f t="shared" si="9"/>
        <v/>
      </c>
      <c r="Z31" s="6" t="s">
        <v>36</v>
      </c>
      <c r="AA31" s="7" t="str">
        <f t="shared" si="10"/>
        <v/>
      </c>
      <c r="AB31" s="6">
        <v>2.0</v>
      </c>
      <c r="AC31" s="7" t="str">
        <f t="shared" si="11"/>
        <v/>
      </c>
      <c r="AD31" s="6">
        <v>1.0</v>
      </c>
      <c r="AE31" s="7" t="str">
        <f t="shared" si="12"/>
        <v/>
      </c>
      <c r="AF31" s="6">
        <v>2.0</v>
      </c>
      <c r="AG31" s="7" t="str">
        <f t="shared" si="13"/>
        <v/>
      </c>
      <c r="AH31" s="6">
        <v>1.0</v>
      </c>
      <c r="AI31" s="7" t="str">
        <f t="shared" si="14"/>
        <v/>
      </c>
      <c r="AJ31" s="6">
        <v>1.0</v>
      </c>
      <c r="AK31" s="7" t="str">
        <f t="shared" si="15"/>
        <v/>
      </c>
      <c r="AL31" s="6">
        <v>1.0</v>
      </c>
      <c r="AM31" s="7" t="str">
        <f t="shared" si="16"/>
        <v/>
      </c>
      <c r="AN31" s="6">
        <v>1.0</v>
      </c>
      <c r="AO31" s="7" t="str">
        <f t="shared" si="17"/>
        <v/>
      </c>
      <c r="AP31" s="6">
        <v>1.0</v>
      </c>
      <c r="AQ31" s="7" t="str">
        <f t="shared" si="18"/>
        <v/>
      </c>
      <c r="AR31" s="6">
        <v>1.0</v>
      </c>
      <c r="AS31" s="7" t="str">
        <f t="shared" si="19"/>
        <v/>
      </c>
      <c r="AT31" s="6">
        <v>1.0</v>
      </c>
      <c r="AU31" s="7" t="str">
        <f t="shared" si="20"/>
        <v/>
      </c>
      <c r="AV31" s="6">
        <v>1.0</v>
      </c>
      <c r="AW31" s="7" t="str">
        <f t="shared" si="21"/>
        <v/>
      </c>
    </row>
    <row r="32" ht="18.0" customHeight="1">
      <c r="A32" s="3">
        <v>30.0</v>
      </c>
      <c r="B32" s="3" t="s">
        <v>111</v>
      </c>
      <c r="C32" s="3" t="s">
        <v>53</v>
      </c>
      <c r="D32" s="1" t="s">
        <v>54</v>
      </c>
      <c r="E32" s="4" t="s">
        <v>58</v>
      </c>
      <c r="F32" s="4" t="s">
        <v>56</v>
      </c>
      <c r="G32" s="5"/>
      <c r="H32" s="6">
        <v>2.0</v>
      </c>
      <c r="I32" s="7" t="str">
        <f t="shared" si="1"/>
        <v/>
      </c>
      <c r="J32" s="6">
        <v>2.0</v>
      </c>
      <c r="K32" s="7" t="str">
        <f t="shared" si="2"/>
        <v/>
      </c>
      <c r="L32" s="6">
        <v>1.0</v>
      </c>
      <c r="M32" s="7" t="str">
        <f t="shared" si="3"/>
        <v/>
      </c>
      <c r="N32" s="6">
        <v>2.0</v>
      </c>
      <c r="O32" s="7" t="str">
        <f t="shared" si="4"/>
        <v/>
      </c>
      <c r="P32" s="6">
        <v>2.0</v>
      </c>
      <c r="Q32" s="7" t="str">
        <f t="shared" si="5"/>
        <v/>
      </c>
      <c r="R32" s="6" t="s">
        <v>36</v>
      </c>
      <c r="S32" s="7" t="str">
        <f t="shared" si="6"/>
        <v/>
      </c>
      <c r="T32" s="6">
        <v>2.0</v>
      </c>
      <c r="U32" s="7" t="str">
        <f t="shared" si="7"/>
        <v/>
      </c>
      <c r="V32" s="6">
        <v>2.0</v>
      </c>
      <c r="W32" s="7" t="str">
        <f t="shared" si="8"/>
        <v/>
      </c>
      <c r="X32" s="6">
        <v>1.0</v>
      </c>
      <c r="Y32" s="7" t="str">
        <f t="shared" si="9"/>
        <v/>
      </c>
      <c r="Z32" s="6" t="s">
        <v>36</v>
      </c>
      <c r="AA32" s="7" t="str">
        <f t="shared" si="10"/>
        <v/>
      </c>
      <c r="AB32" s="6">
        <v>2.0</v>
      </c>
      <c r="AC32" s="7" t="str">
        <f t="shared" si="11"/>
        <v/>
      </c>
      <c r="AD32" s="6">
        <v>2.0</v>
      </c>
      <c r="AE32" s="7" t="str">
        <f t="shared" si="12"/>
        <v/>
      </c>
      <c r="AF32" s="6">
        <v>2.0</v>
      </c>
      <c r="AG32" s="7" t="str">
        <f t="shared" si="13"/>
        <v/>
      </c>
      <c r="AH32" s="6">
        <v>2.0</v>
      </c>
      <c r="AI32" s="7" t="str">
        <f t="shared" si="14"/>
        <v/>
      </c>
      <c r="AJ32" s="6">
        <v>2.0</v>
      </c>
      <c r="AK32" s="7" t="str">
        <f t="shared" si="15"/>
        <v/>
      </c>
      <c r="AL32" s="6">
        <v>2.0</v>
      </c>
      <c r="AM32" s="7" t="str">
        <f t="shared" si="16"/>
        <v/>
      </c>
      <c r="AN32" s="6">
        <v>2.0</v>
      </c>
      <c r="AO32" s="7" t="str">
        <f t="shared" si="17"/>
        <v/>
      </c>
      <c r="AP32" s="6">
        <v>2.0</v>
      </c>
      <c r="AQ32" s="7" t="str">
        <f t="shared" si="18"/>
        <v/>
      </c>
      <c r="AR32" s="6">
        <v>1.0</v>
      </c>
      <c r="AS32" s="7" t="str">
        <f t="shared" si="19"/>
        <v/>
      </c>
      <c r="AT32" s="6">
        <v>2.0</v>
      </c>
      <c r="AU32" s="7" t="str">
        <f t="shared" si="20"/>
        <v/>
      </c>
      <c r="AV32" s="6">
        <v>2.0</v>
      </c>
      <c r="AW32" s="7" t="str">
        <f t="shared" si="21"/>
        <v/>
      </c>
    </row>
    <row r="33" ht="18.0" customHeight="1">
      <c r="A33" s="3">
        <v>31.0</v>
      </c>
      <c r="B33" s="3" t="s">
        <v>111</v>
      </c>
      <c r="C33" s="3" t="s">
        <v>112</v>
      </c>
      <c r="D33" s="1" t="s">
        <v>54</v>
      </c>
      <c r="E33" s="4" t="s">
        <v>55</v>
      </c>
      <c r="F33" s="4" t="s">
        <v>57</v>
      </c>
      <c r="G33" s="5"/>
      <c r="H33" s="6">
        <v>1.0</v>
      </c>
      <c r="I33" s="7" t="str">
        <f t="shared" si="1"/>
        <v/>
      </c>
      <c r="J33" s="6">
        <v>1.0</v>
      </c>
      <c r="K33" s="7" t="str">
        <f t="shared" si="2"/>
        <v/>
      </c>
      <c r="L33" s="6">
        <v>1.0</v>
      </c>
      <c r="M33" s="7" t="str">
        <f t="shared" si="3"/>
        <v/>
      </c>
      <c r="N33" s="6">
        <v>1.0</v>
      </c>
      <c r="O33" s="7" t="str">
        <f t="shared" si="4"/>
        <v/>
      </c>
      <c r="P33" s="6">
        <v>1.0</v>
      </c>
      <c r="Q33" s="7" t="str">
        <f t="shared" si="5"/>
        <v/>
      </c>
      <c r="R33" s="6">
        <v>1.0</v>
      </c>
      <c r="S33" s="7" t="str">
        <f t="shared" si="6"/>
        <v/>
      </c>
      <c r="T33" s="6">
        <v>1.0</v>
      </c>
      <c r="U33" s="7" t="str">
        <f t="shared" si="7"/>
        <v/>
      </c>
      <c r="V33" s="6">
        <v>1.0</v>
      </c>
      <c r="W33" s="7" t="str">
        <f t="shared" si="8"/>
        <v/>
      </c>
      <c r="X33" s="6">
        <v>1.0</v>
      </c>
      <c r="Y33" s="7" t="str">
        <f t="shared" si="9"/>
        <v/>
      </c>
      <c r="Z33" s="6">
        <v>1.0</v>
      </c>
      <c r="AA33" s="7" t="str">
        <f t="shared" si="10"/>
        <v/>
      </c>
      <c r="AB33" s="6">
        <v>1.0</v>
      </c>
      <c r="AC33" s="7" t="str">
        <f t="shared" si="11"/>
        <v/>
      </c>
      <c r="AD33" s="6">
        <v>1.0</v>
      </c>
      <c r="AE33" s="7" t="str">
        <f t="shared" si="12"/>
        <v/>
      </c>
      <c r="AF33" s="6">
        <v>1.0</v>
      </c>
      <c r="AG33" s="7" t="str">
        <f t="shared" si="13"/>
        <v/>
      </c>
      <c r="AH33" s="6">
        <v>1.0</v>
      </c>
      <c r="AI33" s="7" t="str">
        <f t="shared" si="14"/>
        <v/>
      </c>
      <c r="AJ33" s="6">
        <v>1.0</v>
      </c>
      <c r="AK33" s="7" t="str">
        <f t="shared" si="15"/>
        <v/>
      </c>
      <c r="AL33" s="6">
        <v>1.0</v>
      </c>
      <c r="AM33" s="7" t="str">
        <f t="shared" si="16"/>
        <v/>
      </c>
      <c r="AN33" s="6">
        <v>1.0</v>
      </c>
      <c r="AO33" s="7" t="str">
        <f t="shared" si="17"/>
        <v/>
      </c>
      <c r="AP33" s="6">
        <v>1.0</v>
      </c>
      <c r="AQ33" s="7" t="str">
        <f t="shared" si="18"/>
        <v/>
      </c>
      <c r="AR33" s="6">
        <v>1.0</v>
      </c>
      <c r="AS33" s="7" t="str">
        <f t="shared" si="19"/>
        <v/>
      </c>
      <c r="AT33" s="6">
        <v>1.0</v>
      </c>
      <c r="AU33" s="7" t="str">
        <f t="shared" si="20"/>
        <v/>
      </c>
      <c r="AV33" s="6">
        <v>1.0</v>
      </c>
      <c r="AW33" s="7" t="str">
        <f t="shared" si="21"/>
        <v/>
      </c>
    </row>
    <row r="34" ht="18.0" customHeight="1">
      <c r="A34" s="3">
        <v>32.0</v>
      </c>
      <c r="B34" s="3" t="s">
        <v>111</v>
      </c>
      <c r="C34" s="3" t="s">
        <v>113</v>
      </c>
      <c r="D34" s="1" t="s">
        <v>46</v>
      </c>
      <c r="E34" s="4" t="s">
        <v>61</v>
      </c>
      <c r="F34" s="4" t="s">
        <v>48</v>
      </c>
      <c r="G34" s="5"/>
      <c r="H34" s="6">
        <v>1.0</v>
      </c>
      <c r="I34" s="7" t="str">
        <f t="shared" si="1"/>
        <v/>
      </c>
      <c r="J34" s="6">
        <v>1.0</v>
      </c>
      <c r="K34" s="7" t="str">
        <f t="shared" si="2"/>
        <v/>
      </c>
      <c r="L34" s="6">
        <v>2.0</v>
      </c>
      <c r="M34" s="7" t="str">
        <f t="shared" si="3"/>
        <v/>
      </c>
      <c r="N34" s="6">
        <v>1.0</v>
      </c>
      <c r="O34" s="7" t="str">
        <f t="shared" si="4"/>
        <v/>
      </c>
      <c r="P34" s="6" t="s">
        <v>36</v>
      </c>
      <c r="Q34" s="7" t="str">
        <f t="shared" si="5"/>
        <v/>
      </c>
      <c r="R34" s="6">
        <v>1.0</v>
      </c>
      <c r="S34" s="7" t="str">
        <f t="shared" si="6"/>
        <v/>
      </c>
      <c r="T34" s="6">
        <v>1.0</v>
      </c>
      <c r="U34" s="7" t="str">
        <f t="shared" si="7"/>
        <v/>
      </c>
      <c r="V34" s="6">
        <v>1.0</v>
      </c>
      <c r="W34" s="7" t="str">
        <f t="shared" si="8"/>
        <v/>
      </c>
      <c r="X34" s="6">
        <v>1.0</v>
      </c>
      <c r="Y34" s="7" t="str">
        <f t="shared" si="9"/>
        <v/>
      </c>
      <c r="Z34" s="6" t="s">
        <v>36</v>
      </c>
      <c r="AA34" s="7" t="str">
        <f t="shared" si="10"/>
        <v/>
      </c>
      <c r="AB34" s="6">
        <v>1.0</v>
      </c>
      <c r="AC34" s="7" t="str">
        <f t="shared" si="11"/>
        <v/>
      </c>
      <c r="AD34" s="6">
        <v>2.0</v>
      </c>
      <c r="AE34" s="7" t="str">
        <f t="shared" si="12"/>
        <v/>
      </c>
      <c r="AF34" s="6">
        <v>1.0</v>
      </c>
      <c r="AG34" s="7" t="str">
        <f t="shared" si="13"/>
        <v/>
      </c>
      <c r="AH34" s="6" t="s">
        <v>36</v>
      </c>
      <c r="AI34" s="7" t="str">
        <f t="shared" si="14"/>
        <v/>
      </c>
      <c r="AJ34" s="6" t="s">
        <v>36</v>
      </c>
      <c r="AK34" s="7" t="str">
        <f t="shared" si="15"/>
        <v/>
      </c>
      <c r="AL34" s="6">
        <v>1.0</v>
      </c>
      <c r="AM34" s="7" t="str">
        <f t="shared" si="16"/>
        <v/>
      </c>
      <c r="AN34" s="6">
        <v>1.0</v>
      </c>
      <c r="AO34" s="7" t="str">
        <f t="shared" si="17"/>
        <v/>
      </c>
      <c r="AP34" s="6">
        <v>1.0</v>
      </c>
      <c r="AQ34" s="7" t="str">
        <f t="shared" si="18"/>
        <v/>
      </c>
      <c r="AR34" s="6">
        <v>2.0</v>
      </c>
      <c r="AS34" s="7" t="str">
        <f t="shared" si="19"/>
        <v/>
      </c>
      <c r="AT34" s="6">
        <v>2.0</v>
      </c>
      <c r="AU34" s="7" t="str">
        <f t="shared" si="20"/>
        <v/>
      </c>
      <c r="AV34" s="6">
        <v>2.0</v>
      </c>
      <c r="AW34" s="7" t="str">
        <f t="shared" si="21"/>
        <v/>
      </c>
    </row>
    <row r="35" ht="18.0" customHeight="1">
      <c r="A35" s="3">
        <v>33.0</v>
      </c>
      <c r="B35" s="3" t="s">
        <v>111</v>
      </c>
      <c r="C35" s="3" t="s">
        <v>62</v>
      </c>
      <c r="D35" s="1" t="s">
        <v>67</v>
      </c>
      <c r="E35" s="4" t="s">
        <v>68</v>
      </c>
      <c r="F35" s="4" t="s">
        <v>74</v>
      </c>
      <c r="G35" s="5"/>
      <c r="H35" s="6">
        <v>1.0</v>
      </c>
      <c r="I35" s="7" t="str">
        <f t="shared" si="1"/>
        <v/>
      </c>
      <c r="J35" s="6">
        <v>1.0</v>
      </c>
      <c r="K35" s="7" t="str">
        <f t="shared" si="2"/>
        <v/>
      </c>
      <c r="L35" s="6" t="s">
        <v>36</v>
      </c>
      <c r="M35" s="7" t="str">
        <f t="shared" si="3"/>
        <v/>
      </c>
      <c r="N35" s="6">
        <v>2.0</v>
      </c>
      <c r="O35" s="7" t="str">
        <f t="shared" si="4"/>
        <v/>
      </c>
      <c r="P35" s="6">
        <v>1.0</v>
      </c>
      <c r="Q35" s="7" t="str">
        <f t="shared" si="5"/>
        <v/>
      </c>
      <c r="R35" s="6">
        <v>1.0</v>
      </c>
      <c r="S35" s="7" t="str">
        <f t="shared" si="6"/>
        <v/>
      </c>
      <c r="T35" s="6" t="s">
        <v>36</v>
      </c>
      <c r="U35" s="7" t="str">
        <f t="shared" si="7"/>
        <v/>
      </c>
      <c r="V35" s="6" t="s">
        <v>36</v>
      </c>
      <c r="W35" s="7" t="str">
        <f t="shared" si="8"/>
        <v/>
      </c>
      <c r="X35" s="6">
        <v>1.0</v>
      </c>
      <c r="Y35" s="7" t="str">
        <f t="shared" si="9"/>
        <v/>
      </c>
      <c r="Z35" s="6" t="s">
        <v>36</v>
      </c>
      <c r="AA35" s="7" t="str">
        <f t="shared" si="10"/>
        <v/>
      </c>
      <c r="AB35" s="6">
        <v>1.0</v>
      </c>
      <c r="AC35" s="7" t="str">
        <f t="shared" si="11"/>
        <v/>
      </c>
      <c r="AD35" s="6">
        <v>1.0</v>
      </c>
      <c r="AE35" s="7" t="str">
        <f t="shared" si="12"/>
        <v/>
      </c>
      <c r="AF35" s="6">
        <v>1.0</v>
      </c>
      <c r="AG35" s="7" t="str">
        <f t="shared" si="13"/>
        <v/>
      </c>
      <c r="AH35" s="6">
        <v>1.0</v>
      </c>
      <c r="AI35" s="7" t="str">
        <f t="shared" si="14"/>
        <v/>
      </c>
      <c r="AJ35" s="6" t="s">
        <v>36</v>
      </c>
      <c r="AK35" s="7" t="str">
        <f t="shared" si="15"/>
        <v/>
      </c>
      <c r="AL35" s="6" t="s">
        <v>36</v>
      </c>
      <c r="AM35" s="7" t="str">
        <f t="shared" si="16"/>
        <v/>
      </c>
      <c r="AN35" s="6">
        <v>1.0</v>
      </c>
      <c r="AO35" s="7" t="str">
        <f t="shared" si="17"/>
        <v/>
      </c>
      <c r="AP35" s="6">
        <v>1.0</v>
      </c>
      <c r="AQ35" s="7" t="str">
        <f t="shared" si="18"/>
        <v/>
      </c>
      <c r="AR35" s="6">
        <v>2.0</v>
      </c>
      <c r="AS35" s="7" t="str">
        <f t="shared" si="19"/>
        <v/>
      </c>
      <c r="AT35" s="6">
        <v>1.0</v>
      </c>
      <c r="AU35" s="7" t="str">
        <f t="shared" si="20"/>
        <v/>
      </c>
      <c r="AV35" s="6">
        <v>1.0</v>
      </c>
      <c r="AW35" s="7" t="str">
        <f t="shared" si="21"/>
        <v/>
      </c>
    </row>
    <row r="36" ht="18.0" customHeight="1">
      <c r="A36" s="3">
        <v>34.0</v>
      </c>
      <c r="B36" s="3" t="s">
        <v>111</v>
      </c>
      <c r="C36" s="3" t="s">
        <v>66</v>
      </c>
      <c r="D36" s="1" t="s">
        <v>63</v>
      </c>
      <c r="E36" s="4" t="s">
        <v>64</v>
      </c>
      <c r="F36" s="4" t="s">
        <v>72</v>
      </c>
      <c r="G36" s="5"/>
      <c r="H36" s="6">
        <v>1.0</v>
      </c>
      <c r="I36" s="7" t="str">
        <f t="shared" si="1"/>
        <v/>
      </c>
      <c r="J36" s="6">
        <v>1.0</v>
      </c>
      <c r="K36" s="7" t="str">
        <f t="shared" si="2"/>
        <v/>
      </c>
      <c r="L36" s="6">
        <v>1.0</v>
      </c>
      <c r="M36" s="7" t="str">
        <f t="shared" si="3"/>
        <v/>
      </c>
      <c r="N36" s="6">
        <v>1.0</v>
      </c>
      <c r="O36" s="7" t="str">
        <f t="shared" si="4"/>
        <v/>
      </c>
      <c r="P36" s="6">
        <v>1.0</v>
      </c>
      <c r="Q36" s="7" t="str">
        <f t="shared" si="5"/>
        <v/>
      </c>
      <c r="R36" s="6">
        <v>1.0</v>
      </c>
      <c r="S36" s="7" t="str">
        <f t="shared" si="6"/>
        <v/>
      </c>
      <c r="T36" s="6">
        <v>1.0</v>
      </c>
      <c r="U36" s="7" t="str">
        <f t="shared" si="7"/>
        <v/>
      </c>
      <c r="V36" s="6">
        <v>1.0</v>
      </c>
      <c r="W36" s="7" t="str">
        <f t="shared" si="8"/>
        <v/>
      </c>
      <c r="X36" s="6">
        <v>1.0</v>
      </c>
      <c r="Y36" s="7" t="str">
        <f t="shared" si="9"/>
        <v/>
      </c>
      <c r="Z36" s="6">
        <v>1.0</v>
      </c>
      <c r="AA36" s="7" t="str">
        <f t="shared" si="10"/>
        <v/>
      </c>
      <c r="AB36" s="6">
        <v>1.0</v>
      </c>
      <c r="AC36" s="7" t="str">
        <f t="shared" si="11"/>
        <v/>
      </c>
      <c r="AD36" s="6">
        <v>1.0</v>
      </c>
      <c r="AE36" s="7" t="str">
        <f t="shared" si="12"/>
        <v/>
      </c>
      <c r="AF36" s="6">
        <v>1.0</v>
      </c>
      <c r="AG36" s="7" t="str">
        <f t="shared" si="13"/>
        <v/>
      </c>
      <c r="AH36" s="6">
        <v>1.0</v>
      </c>
      <c r="AI36" s="7" t="str">
        <f t="shared" si="14"/>
        <v/>
      </c>
      <c r="AJ36" s="6" t="s">
        <v>36</v>
      </c>
      <c r="AK36" s="7" t="str">
        <f t="shared" si="15"/>
        <v/>
      </c>
      <c r="AL36" s="6">
        <v>1.0</v>
      </c>
      <c r="AM36" s="7" t="str">
        <f t="shared" si="16"/>
        <v/>
      </c>
      <c r="AN36" s="6">
        <v>2.0</v>
      </c>
      <c r="AO36" s="7" t="str">
        <f t="shared" si="17"/>
        <v/>
      </c>
      <c r="AP36" s="6">
        <v>1.0</v>
      </c>
      <c r="AQ36" s="7" t="str">
        <f t="shared" si="18"/>
        <v/>
      </c>
      <c r="AR36" s="6">
        <v>1.0</v>
      </c>
      <c r="AS36" s="7" t="str">
        <f t="shared" si="19"/>
        <v/>
      </c>
      <c r="AT36" s="6">
        <v>1.0</v>
      </c>
      <c r="AU36" s="7" t="str">
        <f t="shared" si="20"/>
        <v/>
      </c>
      <c r="AV36" s="6">
        <v>1.0</v>
      </c>
      <c r="AW36" s="7" t="str">
        <f t="shared" si="21"/>
        <v/>
      </c>
    </row>
    <row r="37" ht="18.0" customHeight="1">
      <c r="A37" s="3">
        <v>35.0</v>
      </c>
      <c r="B37" s="3" t="s">
        <v>114</v>
      </c>
      <c r="C37" s="3" t="s">
        <v>115</v>
      </c>
      <c r="D37" s="1" t="s">
        <v>63</v>
      </c>
      <c r="E37" s="4" t="s">
        <v>73</v>
      </c>
      <c r="F37" s="4" t="s">
        <v>65</v>
      </c>
      <c r="G37" s="5"/>
      <c r="H37" s="6" t="s">
        <v>36</v>
      </c>
      <c r="I37" s="7" t="str">
        <f t="shared" si="1"/>
        <v/>
      </c>
      <c r="J37" s="6">
        <v>1.0</v>
      </c>
      <c r="K37" s="7" t="str">
        <f t="shared" si="2"/>
        <v/>
      </c>
      <c r="L37" s="6" t="s">
        <v>36</v>
      </c>
      <c r="M37" s="7" t="str">
        <f t="shared" si="3"/>
        <v/>
      </c>
      <c r="N37" s="6">
        <v>1.0</v>
      </c>
      <c r="O37" s="7" t="str">
        <f t="shared" si="4"/>
        <v/>
      </c>
      <c r="P37" s="6">
        <v>1.0</v>
      </c>
      <c r="Q37" s="7" t="str">
        <f t="shared" si="5"/>
        <v/>
      </c>
      <c r="R37" s="6">
        <v>1.0</v>
      </c>
      <c r="S37" s="7" t="str">
        <f t="shared" si="6"/>
        <v/>
      </c>
      <c r="T37" s="6">
        <v>1.0</v>
      </c>
      <c r="U37" s="7" t="str">
        <f t="shared" si="7"/>
        <v/>
      </c>
      <c r="V37" s="6">
        <v>1.0</v>
      </c>
      <c r="W37" s="7" t="str">
        <f t="shared" si="8"/>
        <v/>
      </c>
      <c r="X37" s="6">
        <v>1.0</v>
      </c>
      <c r="Y37" s="7" t="str">
        <f t="shared" si="9"/>
        <v/>
      </c>
      <c r="Z37" s="6" t="s">
        <v>36</v>
      </c>
      <c r="AA37" s="7" t="str">
        <f t="shared" si="10"/>
        <v/>
      </c>
      <c r="AB37" s="6">
        <v>2.0</v>
      </c>
      <c r="AC37" s="7" t="str">
        <f t="shared" si="11"/>
        <v/>
      </c>
      <c r="AD37" s="6" t="s">
        <v>36</v>
      </c>
      <c r="AE37" s="7" t="str">
        <f t="shared" si="12"/>
        <v/>
      </c>
      <c r="AF37" s="6" t="s">
        <v>49</v>
      </c>
      <c r="AG37" s="7" t="str">
        <f t="shared" si="13"/>
        <v/>
      </c>
      <c r="AH37" s="6">
        <v>1.0</v>
      </c>
      <c r="AI37" s="7" t="str">
        <f t="shared" si="14"/>
        <v/>
      </c>
      <c r="AJ37" s="6">
        <v>1.0</v>
      </c>
      <c r="AK37" s="7" t="str">
        <f t="shared" si="15"/>
        <v/>
      </c>
      <c r="AL37" s="6" t="s">
        <v>36</v>
      </c>
      <c r="AM37" s="7" t="str">
        <f t="shared" si="16"/>
        <v/>
      </c>
      <c r="AN37" s="6">
        <v>1.0</v>
      </c>
      <c r="AO37" s="7" t="str">
        <f t="shared" si="17"/>
        <v/>
      </c>
      <c r="AP37" s="6">
        <v>1.0</v>
      </c>
      <c r="AQ37" s="7" t="str">
        <f t="shared" si="18"/>
        <v/>
      </c>
      <c r="AR37" s="6">
        <v>1.0</v>
      </c>
      <c r="AS37" s="7" t="str">
        <f t="shared" si="19"/>
        <v/>
      </c>
      <c r="AT37" s="6">
        <v>1.0</v>
      </c>
      <c r="AU37" s="7" t="str">
        <f t="shared" si="20"/>
        <v/>
      </c>
      <c r="AV37" s="6">
        <v>1.0</v>
      </c>
      <c r="AW37" s="7" t="str">
        <f t="shared" si="21"/>
        <v/>
      </c>
    </row>
    <row r="38" ht="18.0" customHeight="1">
      <c r="A38" s="3">
        <v>36.0</v>
      </c>
      <c r="B38" s="3" t="s">
        <v>114</v>
      </c>
      <c r="C38" s="3" t="s">
        <v>59</v>
      </c>
      <c r="D38" s="1" t="s">
        <v>67</v>
      </c>
      <c r="E38" s="4" t="s">
        <v>75</v>
      </c>
      <c r="F38" s="4" t="s">
        <v>69</v>
      </c>
      <c r="G38" s="5"/>
      <c r="H38" s="6">
        <v>2.0</v>
      </c>
      <c r="I38" s="7" t="str">
        <f t="shared" si="1"/>
        <v/>
      </c>
      <c r="J38" s="6">
        <v>2.0</v>
      </c>
      <c r="K38" s="7" t="str">
        <f t="shared" si="2"/>
        <v/>
      </c>
      <c r="L38" s="6">
        <v>2.0</v>
      </c>
      <c r="M38" s="7" t="str">
        <f t="shared" si="3"/>
        <v/>
      </c>
      <c r="N38" s="6" t="s">
        <v>36</v>
      </c>
      <c r="O38" s="7" t="str">
        <f t="shared" si="4"/>
        <v/>
      </c>
      <c r="P38" s="6">
        <v>2.0</v>
      </c>
      <c r="Q38" s="7" t="str">
        <f t="shared" si="5"/>
        <v/>
      </c>
      <c r="R38" s="6">
        <v>2.0</v>
      </c>
      <c r="S38" s="7" t="str">
        <f t="shared" si="6"/>
        <v/>
      </c>
      <c r="T38" s="6">
        <v>2.0</v>
      </c>
      <c r="U38" s="7" t="str">
        <f t="shared" si="7"/>
        <v/>
      </c>
      <c r="V38" s="6" t="s">
        <v>36</v>
      </c>
      <c r="W38" s="7" t="str">
        <f t="shared" si="8"/>
        <v/>
      </c>
      <c r="X38" s="6">
        <v>2.0</v>
      </c>
      <c r="Y38" s="7" t="str">
        <f t="shared" si="9"/>
        <v/>
      </c>
      <c r="Z38" s="6">
        <v>2.0</v>
      </c>
      <c r="AA38" s="7" t="str">
        <f t="shared" si="10"/>
        <v/>
      </c>
      <c r="AB38" s="6">
        <v>2.0</v>
      </c>
      <c r="AC38" s="7" t="str">
        <f t="shared" si="11"/>
        <v/>
      </c>
      <c r="AD38" s="6" t="s">
        <v>36</v>
      </c>
      <c r="AE38" s="7" t="str">
        <f t="shared" si="12"/>
        <v/>
      </c>
      <c r="AF38" s="6">
        <v>2.0</v>
      </c>
      <c r="AG38" s="7" t="str">
        <f t="shared" si="13"/>
        <v/>
      </c>
      <c r="AH38" s="6">
        <v>2.0</v>
      </c>
      <c r="AI38" s="7" t="str">
        <f t="shared" si="14"/>
        <v/>
      </c>
      <c r="AJ38" s="6">
        <v>2.0</v>
      </c>
      <c r="AK38" s="7" t="str">
        <f t="shared" si="15"/>
        <v/>
      </c>
      <c r="AL38" s="6">
        <v>2.0</v>
      </c>
      <c r="AM38" s="7" t="str">
        <f t="shared" si="16"/>
        <v/>
      </c>
      <c r="AN38" s="6" t="s">
        <v>36</v>
      </c>
      <c r="AO38" s="7" t="str">
        <f t="shared" si="17"/>
        <v/>
      </c>
      <c r="AP38" s="6">
        <v>2.0</v>
      </c>
      <c r="AQ38" s="7" t="str">
        <f t="shared" si="18"/>
        <v/>
      </c>
      <c r="AR38" s="6">
        <v>2.0</v>
      </c>
      <c r="AS38" s="7" t="str">
        <f t="shared" si="19"/>
        <v/>
      </c>
      <c r="AT38" s="6">
        <v>1.0</v>
      </c>
      <c r="AU38" s="7" t="str">
        <f t="shared" si="20"/>
        <v/>
      </c>
      <c r="AV38" s="6">
        <v>1.0</v>
      </c>
      <c r="AW38" s="7" t="str">
        <f t="shared" si="21"/>
        <v/>
      </c>
    </row>
    <row r="39" ht="18.0" customHeight="1">
      <c r="A39" s="3">
        <v>37.0</v>
      </c>
      <c r="B39" s="3" t="s">
        <v>114</v>
      </c>
      <c r="C39" s="3" t="s">
        <v>76</v>
      </c>
      <c r="D39" s="1" t="s">
        <v>77</v>
      </c>
      <c r="E39" s="4" t="s">
        <v>78</v>
      </c>
      <c r="F39" s="4" t="s">
        <v>84</v>
      </c>
      <c r="G39" s="5"/>
      <c r="H39" s="6">
        <v>1.0</v>
      </c>
      <c r="I39" s="7" t="str">
        <f t="shared" si="1"/>
        <v/>
      </c>
      <c r="J39" s="6">
        <v>1.0</v>
      </c>
      <c r="K39" s="7" t="str">
        <f t="shared" si="2"/>
        <v/>
      </c>
      <c r="L39" s="6">
        <v>1.0</v>
      </c>
      <c r="M39" s="7" t="str">
        <f t="shared" si="3"/>
        <v/>
      </c>
      <c r="N39" s="6">
        <v>1.0</v>
      </c>
      <c r="O39" s="7" t="str">
        <f t="shared" si="4"/>
        <v/>
      </c>
      <c r="P39" s="6">
        <v>1.0</v>
      </c>
      <c r="Q39" s="7" t="str">
        <f t="shared" si="5"/>
        <v/>
      </c>
      <c r="R39" s="6">
        <v>1.0</v>
      </c>
      <c r="S39" s="7" t="str">
        <f t="shared" si="6"/>
        <v/>
      </c>
      <c r="T39" s="6">
        <v>1.0</v>
      </c>
      <c r="U39" s="7" t="str">
        <f t="shared" si="7"/>
        <v/>
      </c>
      <c r="V39" s="6">
        <v>1.0</v>
      </c>
      <c r="W39" s="7" t="str">
        <f t="shared" si="8"/>
        <v/>
      </c>
      <c r="X39" s="6">
        <v>1.0</v>
      </c>
      <c r="Y39" s="7" t="str">
        <f t="shared" si="9"/>
        <v/>
      </c>
      <c r="Z39" s="6">
        <v>1.0</v>
      </c>
      <c r="AA39" s="7" t="str">
        <f t="shared" si="10"/>
        <v/>
      </c>
      <c r="AB39" s="6">
        <v>1.0</v>
      </c>
      <c r="AC39" s="7" t="str">
        <f t="shared" si="11"/>
        <v/>
      </c>
      <c r="AD39" s="6">
        <v>1.0</v>
      </c>
      <c r="AE39" s="7" t="str">
        <f t="shared" si="12"/>
        <v/>
      </c>
      <c r="AF39" s="6">
        <v>1.0</v>
      </c>
      <c r="AG39" s="7" t="str">
        <f t="shared" si="13"/>
        <v/>
      </c>
      <c r="AH39" s="6">
        <v>1.0</v>
      </c>
      <c r="AI39" s="7" t="str">
        <f t="shared" si="14"/>
        <v/>
      </c>
      <c r="AJ39" s="6">
        <v>1.0</v>
      </c>
      <c r="AK39" s="7" t="str">
        <f t="shared" si="15"/>
        <v/>
      </c>
      <c r="AL39" s="6">
        <v>1.0</v>
      </c>
      <c r="AM39" s="7" t="str">
        <f t="shared" si="16"/>
        <v/>
      </c>
      <c r="AN39" s="6">
        <v>1.0</v>
      </c>
      <c r="AO39" s="7" t="str">
        <f t="shared" si="17"/>
        <v/>
      </c>
      <c r="AP39" s="6">
        <v>1.0</v>
      </c>
      <c r="AQ39" s="7" t="str">
        <f t="shared" si="18"/>
        <v/>
      </c>
      <c r="AR39" s="6">
        <v>1.0</v>
      </c>
      <c r="AS39" s="7" t="str">
        <f t="shared" si="19"/>
        <v/>
      </c>
      <c r="AT39" s="6">
        <v>1.0</v>
      </c>
      <c r="AU39" s="7" t="str">
        <f t="shared" si="20"/>
        <v/>
      </c>
      <c r="AV39" s="6">
        <v>1.0</v>
      </c>
      <c r="AW39" s="7" t="str">
        <f t="shared" si="21"/>
        <v/>
      </c>
    </row>
    <row r="40" ht="18.0" customHeight="1">
      <c r="A40" s="3">
        <v>38.0</v>
      </c>
      <c r="B40" s="3" t="s">
        <v>114</v>
      </c>
      <c r="C40" s="3" t="s">
        <v>32</v>
      </c>
      <c r="D40" s="1" t="s">
        <v>80</v>
      </c>
      <c r="E40" s="4" t="s">
        <v>81</v>
      </c>
      <c r="F40" s="4" t="s">
        <v>86</v>
      </c>
      <c r="G40" s="5"/>
      <c r="H40" s="6">
        <v>1.0</v>
      </c>
      <c r="I40" s="7" t="str">
        <f t="shared" si="1"/>
        <v/>
      </c>
      <c r="J40" s="6">
        <v>1.0</v>
      </c>
      <c r="K40" s="7" t="str">
        <f t="shared" si="2"/>
        <v/>
      </c>
      <c r="L40" s="6">
        <v>1.0</v>
      </c>
      <c r="M40" s="7" t="str">
        <f t="shared" si="3"/>
        <v/>
      </c>
      <c r="N40" s="6">
        <v>1.0</v>
      </c>
      <c r="O40" s="7" t="str">
        <f t="shared" si="4"/>
        <v/>
      </c>
      <c r="P40" s="6">
        <v>1.0</v>
      </c>
      <c r="Q40" s="7" t="str">
        <f t="shared" si="5"/>
        <v/>
      </c>
      <c r="R40" s="6">
        <v>1.0</v>
      </c>
      <c r="S40" s="7" t="str">
        <f t="shared" si="6"/>
        <v/>
      </c>
      <c r="T40" s="6">
        <v>1.0</v>
      </c>
      <c r="U40" s="7" t="str">
        <f t="shared" si="7"/>
        <v/>
      </c>
      <c r="V40" s="6">
        <v>1.0</v>
      </c>
      <c r="W40" s="7" t="str">
        <f t="shared" si="8"/>
        <v/>
      </c>
      <c r="X40" s="6">
        <v>1.0</v>
      </c>
      <c r="Y40" s="7" t="str">
        <f t="shared" si="9"/>
        <v/>
      </c>
      <c r="Z40" s="6">
        <v>1.0</v>
      </c>
      <c r="AA40" s="7" t="str">
        <f t="shared" si="10"/>
        <v/>
      </c>
      <c r="AB40" s="6">
        <v>1.0</v>
      </c>
      <c r="AC40" s="7" t="str">
        <f t="shared" si="11"/>
        <v/>
      </c>
      <c r="AD40" s="6" t="s">
        <v>36</v>
      </c>
      <c r="AE40" s="7" t="str">
        <f t="shared" si="12"/>
        <v/>
      </c>
      <c r="AF40" s="6">
        <v>1.0</v>
      </c>
      <c r="AG40" s="7" t="str">
        <f t="shared" si="13"/>
        <v/>
      </c>
      <c r="AH40" s="6">
        <v>1.0</v>
      </c>
      <c r="AI40" s="7" t="str">
        <f t="shared" si="14"/>
        <v/>
      </c>
      <c r="AJ40" s="6">
        <v>1.0</v>
      </c>
      <c r="AK40" s="7" t="str">
        <f t="shared" si="15"/>
        <v/>
      </c>
      <c r="AL40" s="6">
        <v>1.0</v>
      </c>
      <c r="AM40" s="7" t="str">
        <f t="shared" si="16"/>
        <v/>
      </c>
      <c r="AN40" s="6">
        <v>1.0</v>
      </c>
      <c r="AO40" s="7" t="str">
        <f t="shared" si="17"/>
        <v/>
      </c>
      <c r="AP40" s="6">
        <v>1.0</v>
      </c>
      <c r="AQ40" s="7" t="str">
        <f t="shared" si="18"/>
        <v/>
      </c>
      <c r="AR40" s="6">
        <v>1.0</v>
      </c>
      <c r="AS40" s="7" t="str">
        <f t="shared" si="19"/>
        <v/>
      </c>
      <c r="AT40" s="6">
        <v>1.0</v>
      </c>
      <c r="AU40" s="7" t="str">
        <f t="shared" si="20"/>
        <v/>
      </c>
      <c r="AV40" s="6">
        <v>1.0</v>
      </c>
      <c r="AW40" s="7" t="str">
        <f t="shared" si="21"/>
        <v/>
      </c>
    </row>
    <row r="41" ht="18.0" customHeight="1">
      <c r="A41" s="3">
        <v>39.0</v>
      </c>
      <c r="B41" s="3" t="s">
        <v>116</v>
      </c>
      <c r="C41" s="3" t="s">
        <v>53</v>
      </c>
      <c r="D41" s="1" t="s">
        <v>77</v>
      </c>
      <c r="E41" s="4" t="s">
        <v>85</v>
      </c>
      <c r="F41" s="4" t="s">
        <v>79</v>
      </c>
      <c r="G41" s="5"/>
      <c r="H41" s="6">
        <v>1.0</v>
      </c>
      <c r="I41" s="7" t="str">
        <f t="shared" si="1"/>
        <v/>
      </c>
      <c r="J41" s="6">
        <v>1.0</v>
      </c>
      <c r="K41" s="7" t="str">
        <f t="shared" si="2"/>
        <v/>
      </c>
      <c r="L41" s="6">
        <v>1.0</v>
      </c>
      <c r="M41" s="7" t="str">
        <f t="shared" si="3"/>
        <v/>
      </c>
      <c r="N41" s="6">
        <v>1.0</v>
      </c>
      <c r="O41" s="7" t="str">
        <f t="shared" si="4"/>
        <v/>
      </c>
      <c r="P41" s="6">
        <v>1.0</v>
      </c>
      <c r="Q41" s="7" t="str">
        <f t="shared" si="5"/>
        <v/>
      </c>
      <c r="R41" s="6">
        <v>1.0</v>
      </c>
      <c r="S41" s="7" t="str">
        <f t="shared" si="6"/>
        <v/>
      </c>
      <c r="T41" s="6">
        <v>1.0</v>
      </c>
      <c r="U41" s="7" t="str">
        <f t="shared" si="7"/>
        <v/>
      </c>
      <c r="V41" s="6">
        <v>1.0</v>
      </c>
      <c r="W41" s="7" t="str">
        <f t="shared" si="8"/>
        <v/>
      </c>
      <c r="X41" s="6">
        <v>1.0</v>
      </c>
      <c r="Y41" s="7" t="str">
        <f t="shared" si="9"/>
        <v/>
      </c>
      <c r="Z41" s="6">
        <v>1.0</v>
      </c>
      <c r="AA41" s="7" t="str">
        <f t="shared" si="10"/>
        <v/>
      </c>
      <c r="AB41" s="6">
        <v>1.0</v>
      </c>
      <c r="AC41" s="7" t="str">
        <f t="shared" si="11"/>
        <v/>
      </c>
      <c r="AD41" s="6">
        <v>2.0</v>
      </c>
      <c r="AE41" s="7" t="str">
        <f t="shared" si="12"/>
        <v/>
      </c>
      <c r="AF41" s="6">
        <v>1.0</v>
      </c>
      <c r="AG41" s="7" t="str">
        <f t="shared" si="13"/>
        <v/>
      </c>
      <c r="AH41" s="6">
        <v>1.0</v>
      </c>
      <c r="AI41" s="7" t="str">
        <f t="shared" si="14"/>
        <v/>
      </c>
      <c r="AJ41" s="6">
        <v>1.0</v>
      </c>
      <c r="AK41" s="7" t="str">
        <f t="shared" si="15"/>
        <v/>
      </c>
      <c r="AL41" s="6">
        <v>1.0</v>
      </c>
      <c r="AM41" s="7" t="str">
        <f t="shared" si="16"/>
        <v/>
      </c>
      <c r="AN41" s="6">
        <v>1.0</v>
      </c>
      <c r="AO41" s="7" t="str">
        <f t="shared" si="17"/>
        <v/>
      </c>
      <c r="AP41" s="6">
        <v>1.0</v>
      </c>
      <c r="AQ41" s="7" t="str">
        <f t="shared" si="18"/>
        <v/>
      </c>
      <c r="AR41" s="6">
        <v>1.0</v>
      </c>
      <c r="AS41" s="7" t="str">
        <f t="shared" si="19"/>
        <v/>
      </c>
      <c r="AT41" s="6" t="s">
        <v>36</v>
      </c>
      <c r="AU41" s="7" t="str">
        <f t="shared" si="20"/>
        <v/>
      </c>
      <c r="AV41" s="6">
        <v>1.0</v>
      </c>
      <c r="AW41" s="7" t="str">
        <f t="shared" si="21"/>
        <v/>
      </c>
    </row>
    <row r="42" ht="18.0" customHeight="1">
      <c r="A42" s="3">
        <v>40.0</v>
      </c>
      <c r="B42" s="3" t="s">
        <v>116</v>
      </c>
      <c r="C42" s="3" t="s">
        <v>45</v>
      </c>
      <c r="D42" s="1" t="s">
        <v>80</v>
      </c>
      <c r="E42" s="4" t="s">
        <v>87</v>
      </c>
      <c r="F42" s="4" t="s">
        <v>82</v>
      </c>
      <c r="G42" s="5"/>
      <c r="H42" s="6">
        <v>2.0</v>
      </c>
      <c r="I42" s="7" t="str">
        <f t="shared" si="1"/>
        <v/>
      </c>
      <c r="J42" s="6">
        <v>2.0</v>
      </c>
      <c r="K42" s="7" t="str">
        <f t="shared" si="2"/>
        <v/>
      </c>
      <c r="L42" s="6">
        <v>2.0</v>
      </c>
      <c r="M42" s="7" t="str">
        <f t="shared" si="3"/>
        <v/>
      </c>
      <c r="N42" s="6">
        <v>2.0</v>
      </c>
      <c r="O42" s="7" t="str">
        <f t="shared" si="4"/>
        <v/>
      </c>
      <c r="P42" s="6">
        <v>2.0</v>
      </c>
      <c r="Q42" s="7" t="str">
        <f t="shared" si="5"/>
        <v/>
      </c>
      <c r="R42" s="6" t="s">
        <v>36</v>
      </c>
      <c r="S42" s="7" t="str">
        <f t="shared" si="6"/>
        <v/>
      </c>
      <c r="T42" s="6">
        <v>2.0</v>
      </c>
      <c r="U42" s="7" t="str">
        <f t="shared" si="7"/>
        <v/>
      </c>
      <c r="V42" s="6" t="s">
        <v>36</v>
      </c>
      <c r="W42" s="7" t="str">
        <f t="shared" si="8"/>
        <v/>
      </c>
      <c r="X42" s="6">
        <v>2.0</v>
      </c>
      <c r="Y42" s="7" t="str">
        <f t="shared" si="9"/>
        <v/>
      </c>
      <c r="Z42" s="6">
        <v>1.0</v>
      </c>
      <c r="AA42" s="7" t="str">
        <f t="shared" si="10"/>
        <v/>
      </c>
      <c r="AB42" s="6" t="s">
        <v>36</v>
      </c>
      <c r="AC42" s="7" t="str">
        <f t="shared" si="11"/>
        <v/>
      </c>
      <c r="AD42" s="6" t="s">
        <v>36</v>
      </c>
      <c r="AE42" s="7" t="str">
        <f t="shared" si="12"/>
        <v/>
      </c>
      <c r="AF42" s="6">
        <v>2.0</v>
      </c>
      <c r="AG42" s="7" t="str">
        <f t="shared" si="13"/>
        <v/>
      </c>
      <c r="AH42" s="6">
        <v>2.0</v>
      </c>
      <c r="AI42" s="7" t="str">
        <f t="shared" si="14"/>
        <v/>
      </c>
      <c r="AJ42" s="6">
        <v>2.0</v>
      </c>
      <c r="AK42" s="7" t="str">
        <f t="shared" si="15"/>
        <v/>
      </c>
      <c r="AL42" s="6">
        <v>2.0</v>
      </c>
      <c r="AM42" s="7" t="str">
        <f t="shared" si="16"/>
        <v/>
      </c>
      <c r="AN42" s="6">
        <v>2.0</v>
      </c>
      <c r="AO42" s="7" t="str">
        <f t="shared" si="17"/>
        <v/>
      </c>
      <c r="AP42" s="6">
        <v>2.0</v>
      </c>
      <c r="AQ42" s="7" t="str">
        <f t="shared" si="18"/>
        <v/>
      </c>
      <c r="AR42" s="6">
        <v>1.0</v>
      </c>
      <c r="AS42" s="7" t="str">
        <f t="shared" si="19"/>
        <v/>
      </c>
      <c r="AT42" s="6" t="s">
        <v>36</v>
      </c>
      <c r="AU42" s="7" t="str">
        <f t="shared" si="20"/>
        <v/>
      </c>
      <c r="AV42" s="6">
        <v>2.0</v>
      </c>
      <c r="AW42" s="7" t="str">
        <f t="shared" si="21"/>
        <v/>
      </c>
    </row>
    <row r="43" ht="18.0" customHeight="1">
      <c r="A43" s="3">
        <v>41.0</v>
      </c>
      <c r="B43" s="3" t="s">
        <v>116</v>
      </c>
      <c r="C43" s="3" t="s">
        <v>62</v>
      </c>
      <c r="D43" s="1" t="s">
        <v>94</v>
      </c>
      <c r="E43" s="4" t="s">
        <v>95</v>
      </c>
      <c r="F43" s="4" t="s">
        <v>97</v>
      </c>
      <c r="G43" s="5"/>
      <c r="H43" s="6">
        <v>1.0</v>
      </c>
      <c r="I43" s="7" t="str">
        <f t="shared" si="1"/>
        <v/>
      </c>
      <c r="J43" s="6">
        <v>1.0</v>
      </c>
      <c r="K43" s="7" t="str">
        <f t="shared" si="2"/>
        <v/>
      </c>
      <c r="L43" s="6">
        <v>1.0</v>
      </c>
      <c r="M43" s="7" t="str">
        <f t="shared" si="3"/>
        <v/>
      </c>
      <c r="N43" s="6">
        <v>1.0</v>
      </c>
      <c r="O43" s="7" t="str">
        <f t="shared" si="4"/>
        <v/>
      </c>
      <c r="P43" s="6">
        <v>1.0</v>
      </c>
      <c r="Q43" s="7" t="str">
        <f t="shared" si="5"/>
        <v/>
      </c>
      <c r="R43" s="6">
        <v>1.0</v>
      </c>
      <c r="S43" s="7" t="str">
        <f t="shared" si="6"/>
        <v/>
      </c>
      <c r="T43" s="6">
        <v>1.0</v>
      </c>
      <c r="U43" s="7" t="str">
        <f t="shared" si="7"/>
        <v/>
      </c>
      <c r="V43" s="6" t="s">
        <v>36</v>
      </c>
      <c r="W43" s="7" t="str">
        <f t="shared" si="8"/>
        <v/>
      </c>
      <c r="X43" s="6">
        <v>1.0</v>
      </c>
      <c r="Y43" s="7" t="str">
        <f t="shared" si="9"/>
        <v/>
      </c>
      <c r="Z43" s="6">
        <v>1.0</v>
      </c>
      <c r="AA43" s="7" t="str">
        <f t="shared" si="10"/>
        <v/>
      </c>
      <c r="AB43" s="6">
        <v>1.0</v>
      </c>
      <c r="AC43" s="7" t="str">
        <f t="shared" si="11"/>
        <v/>
      </c>
      <c r="AD43" s="6">
        <v>1.0</v>
      </c>
      <c r="AE43" s="7" t="str">
        <f t="shared" si="12"/>
        <v/>
      </c>
      <c r="AF43" s="6">
        <v>1.0</v>
      </c>
      <c r="AG43" s="7" t="str">
        <f t="shared" si="13"/>
        <v/>
      </c>
      <c r="AH43" s="6">
        <v>1.0</v>
      </c>
      <c r="AI43" s="7" t="str">
        <f t="shared" si="14"/>
        <v/>
      </c>
      <c r="AJ43" s="6">
        <v>1.0</v>
      </c>
      <c r="AK43" s="7" t="str">
        <f t="shared" si="15"/>
        <v/>
      </c>
      <c r="AL43" s="6" t="s">
        <v>36</v>
      </c>
      <c r="AM43" s="7" t="str">
        <f t="shared" si="16"/>
        <v/>
      </c>
      <c r="AN43" s="6">
        <v>1.0</v>
      </c>
      <c r="AO43" s="7" t="str">
        <f t="shared" si="17"/>
        <v/>
      </c>
      <c r="AP43" s="6">
        <v>1.0</v>
      </c>
      <c r="AQ43" s="7" t="str">
        <f t="shared" si="18"/>
        <v/>
      </c>
      <c r="AR43" s="6">
        <v>1.0</v>
      </c>
      <c r="AS43" s="7" t="str">
        <f t="shared" si="19"/>
        <v/>
      </c>
      <c r="AT43" s="6">
        <v>1.0</v>
      </c>
      <c r="AU43" s="7" t="str">
        <f t="shared" si="20"/>
        <v/>
      </c>
      <c r="AV43" s="6">
        <v>1.0</v>
      </c>
      <c r="AW43" s="7" t="str">
        <f t="shared" si="21"/>
        <v/>
      </c>
    </row>
    <row r="44" ht="18.0" customHeight="1">
      <c r="A44" s="3">
        <v>42.0</v>
      </c>
      <c r="B44" s="3" t="s">
        <v>116</v>
      </c>
      <c r="C44" s="3" t="s">
        <v>117</v>
      </c>
      <c r="D44" s="1" t="s">
        <v>88</v>
      </c>
      <c r="E44" s="4" t="s">
        <v>89</v>
      </c>
      <c r="F44" s="4" t="s">
        <v>92</v>
      </c>
      <c r="G44" s="5"/>
      <c r="H44" s="6">
        <v>1.0</v>
      </c>
      <c r="I44" s="7" t="str">
        <f t="shared" si="1"/>
        <v/>
      </c>
      <c r="J44" s="6">
        <v>1.0</v>
      </c>
      <c r="K44" s="7" t="str">
        <f t="shared" si="2"/>
        <v/>
      </c>
      <c r="L44" s="6">
        <v>1.0</v>
      </c>
      <c r="M44" s="7" t="str">
        <f t="shared" si="3"/>
        <v/>
      </c>
      <c r="N44" s="6">
        <v>1.0</v>
      </c>
      <c r="O44" s="7" t="str">
        <f t="shared" si="4"/>
        <v/>
      </c>
      <c r="P44" s="6">
        <v>1.0</v>
      </c>
      <c r="Q44" s="7" t="str">
        <f t="shared" si="5"/>
        <v/>
      </c>
      <c r="R44" s="6">
        <v>1.0</v>
      </c>
      <c r="S44" s="7" t="str">
        <f t="shared" si="6"/>
        <v/>
      </c>
      <c r="T44" s="6">
        <v>1.0</v>
      </c>
      <c r="U44" s="7" t="str">
        <f t="shared" si="7"/>
        <v/>
      </c>
      <c r="V44" s="6">
        <v>1.0</v>
      </c>
      <c r="W44" s="7" t="str">
        <f t="shared" si="8"/>
        <v/>
      </c>
      <c r="X44" s="6">
        <v>1.0</v>
      </c>
      <c r="Y44" s="7" t="str">
        <f t="shared" si="9"/>
        <v/>
      </c>
      <c r="Z44" s="6" t="s">
        <v>36</v>
      </c>
      <c r="AA44" s="7" t="str">
        <f t="shared" si="10"/>
        <v/>
      </c>
      <c r="AB44" s="6">
        <v>1.0</v>
      </c>
      <c r="AC44" s="7" t="str">
        <f t="shared" si="11"/>
        <v/>
      </c>
      <c r="AD44" s="6">
        <v>1.0</v>
      </c>
      <c r="AE44" s="7" t="str">
        <f t="shared" si="12"/>
        <v/>
      </c>
      <c r="AF44" s="6">
        <v>1.0</v>
      </c>
      <c r="AG44" s="7" t="str">
        <f t="shared" si="13"/>
        <v/>
      </c>
      <c r="AH44" s="6">
        <v>1.0</v>
      </c>
      <c r="AI44" s="7" t="str">
        <f t="shared" si="14"/>
        <v/>
      </c>
      <c r="AJ44" s="6">
        <v>1.0</v>
      </c>
      <c r="AK44" s="7" t="str">
        <f t="shared" si="15"/>
        <v/>
      </c>
      <c r="AL44" s="6">
        <v>1.0</v>
      </c>
      <c r="AM44" s="7" t="str">
        <f t="shared" si="16"/>
        <v/>
      </c>
      <c r="AN44" s="6">
        <v>1.0</v>
      </c>
      <c r="AO44" s="7" t="str">
        <f t="shared" si="17"/>
        <v/>
      </c>
      <c r="AP44" s="6">
        <v>1.0</v>
      </c>
      <c r="AQ44" s="7" t="str">
        <f t="shared" si="18"/>
        <v/>
      </c>
      <c r="AR44" s="6">
        <v>1.0</v>
      </c>
      <c r="AS44" s="7" t="str">
        <f t="shared" si="19"/>
        <v/>
      </c>
      <c r="AT44" s="6">
        <v>1.0</v>
      </c>
      <c r="AU44" s="7" t="str">
        <f t="shared" si="20"/>
        <v/>
      </c>
      <c r="AV44" s="6">
        <v>1.0</v>
      </c>
      <c r="AW44" s="7" t="str">
        <f t="shared" si="21"/>
        <v/>
      </c>
    </row>
    <row r="45" ht="18.0" customHeight="1">
      <c r="A45" s="3">
        <v>43.0</v>
      </c>
      <c r="B45" s="3" t="s">
        <v>118</v>
      </c>
      <c r="C45" s="3" t="s">
        <v>115</v>
      </c>
      <c r="D45" s="1" t="s">
        <v>88</v>
      </c>
      <c r="E45" s="4" t="s">
        <v>93</v>
      </c>
      <c r="F45" s="4" t="s">
        <v>90</v>
      </c>
      <c r="G45" s="5"/>
      <c r="H45" s="6">
        <v>1.0</v>
      </c>
      <c r="I45" s="7" t="str">
        <f t="shared" si="1"/>
        <v/>
      </c>
      <c r="J45" s="6">
        <v>1.0</v>
      </c>
      <c r="K45" s="7" t="str">
        <f t="shared" si="2"/>
        <v/>
      </c>
      <c r="L45" s="6">
        <v>1.0</v>
      </c>
      <c r="M45" s="7" t="str">
        <f t="shared" si="3"/>
        <v/>
      </c>
      <c r="N45" s="6" t="s">
        <v>36</v>
      </c>
      <c r="O45" s="7" t="str">
        <f t="shared" si="4"/>
        <v/>
      </c>
      <c r="P45" s="6" t="s">
        <v>36</v>
      </c>
      <c r="Q45" s="7" t="str">
        <f t="shared" si="5"/>
        <v/>
      </c>
      <c r="R45" s="6">
        <v>1.0</v>
      </c>
      <c r="S45" s="7" t="str">
        <f t="shared" si="6"/>
        <v/>
      </c>
      <c r="T45" s="6">
        <v>1.0</v>
      </c>
      <c r="U45" s="7" t="str">
        <f t="shared" si="7"/>
        <v/>
      </c>
      <c r="V45" s="6" t="s">
        <v>36</v>
      </c>
      <c r="W45" s="7" t="str">
        <f t="shared" si="8"/>
        <v/>
      </c>
      <c r="X45" s="6">
        <v>2.0</v>
      </c>
      <c r="Y45" s="7" t="str">
        <f t="shared" si="9"/>
        <v/>
      </c>
      <c r="Z45" s="6">
        <v>2.0</v>
      </c>
      <c r="AA45" s="7" t="str">
        <f t="shared" si="10"/>
        <v/>
      </c>
      <c r="AB45" s="6" t="s">
        <v>36</v>
      </c>
      <c r="AC45" s="7" t="str">
        <f t="shared" si="11"/>
        <v/>
      </c>
      <c r="AD45" s="6">
        <v>1.0</v>
      </c>
      <c r="AE45" s="7" t="str">
        <f t="shared" si="12"/>
        <v/>
      </c>
      <c r="AF45" s="6">
        <v>1.0</v>
      </c>
      <c r="AG45" s="7" t="str">
        <f t="shared" si="13"/>
        <v/>
      </c>
      <c r="AH45" s="6">
        <v>1.0</v>
      </c>
      <c r="AI45" s="7" t="str">
        <f t="shared" si="14"/>
        <v/>
      </c>
      <c r="AJ45" s="6">
        <v>1.0</v>
      </c>
      <c r="AK45" s="7" t="str">
        <f t="shared" si="15"/>
        <v/>
      </c>
      <c r="AL45" s="6">
        <v>1.0</v>
      </c>
      <c r="AM45" s="7" t="str">
        <f t="shared" si="16"/>
        <v/>
      </c>
      <c r="AN45" s="6" t="s">
        <v>36</v>
      </c>
      <c r="AO45" s="7" t="str">
        <f t="shared" si="17"/>
        <v/>
      </c>
      <c r="AP45" s="6">
        <v>1.0</v>
      </c>
      <c r="AQ45" s="7" t="str">
        <f t="shared" si="18"/>
        <v/>
      </c>
      <c r="AR45" s="6">
        <v>1.0</v>
      </c>
      <c r="AS45" s="7" t="str">
        <f t="shared" si="19"/>
        <v/>
      </c>
      <c r="AT45" s="6">
        <v>2.0</v>
      </c>
      <c r="AU45" s="7" t="str">
        <f t="shared" si="20"/>
        <v/>
      </c>
      <c r="AV45" s="6">
        <v>1.0</v>
      </c>
      <c r="AW45" s="7" t="str">
        <f t="shared" si="21"/>
        <v/>
      </c>
    </row>
    <row r="46" ht="18.0" customHeight="1">
      <c r="A46" s="3">
        <v>44.0</v>
      </c>
      <c r="B46" s="3" t="s">
        <v>118</v>
      </c>
      <c r="C46" s="3" t="s">
        <v>113</v>
      </c>
      <c r="D46" s="1" t="s">
        <v>94</v>
      </c>
      <c r="E46" s="4" t="s">
        <v>98</v>
      </c>
      <c r="F46" s="4" t="s">
        <v>96</v>
      </c>
      <c r="G46" s="5"/>
      <c r="H46" s="6">
        <v>2.0</v>
      </c>
      <c r="I46" s="7" t="str">
        <f t="shared" si="1"/>
        <v/>
      </c>
      <c r="J46" s="6" t="s">
        <v>36</v>
      </c>
      <c r="K46" s="7" t="str">
        <f t="shared" si="2"/>
        <v/>
      </c>
      <c r="L46" s="6">
        <v>2.0</v>
      </c>
      <c r="M46" s="7" t="str">
        <f t="shared" si="3"/>
        <v/>
      </c>
      <c r="N46" s="6">
        <v>2.0</v>
      </c>
      <c r="O46" s="7" t="str">
        <f t="shared" si="4"/>
        <v/>
      </c>
      <c r="P46" s="6">
        <v>2.0</v>
      </c>
      <c r="Q46" s="7" t="str">
        <f t="shared" si="5"/>
        <v/>
      </c>
      <c r="R46" s="6">
        <v>2.0</v>
      </c>
      <c r="S46" s="7" t="str">
        <f t="shared" si="6"/>
        <v/>
      </c>
      <c r="T46" s="6">
        <v>2.0</v>
      </c>
      <c r="U46" s="7" t="str">
        <f t="shared" si="7"/>
        <v/>
      </c>
      <c r="V46" s="6">
        <v>2.0</v>
      </c>
      <c r="W46" s="7" t="str">
        <f t="shared" si="8"/>
        <v/>
      </c>
      <c r="X46" s="6">
        <v>2.0</v>
      </c>
      <c r="Y46" s="7" t="str">
        <f t="shared" si="9"/>
        <v/>
      </c>
      <c r="Z46" s="6" t="s">
        <v>36</v>
      </c>
      <c r="AA46" s="7" t="str">
        <f t="shared" si="10"/>
        <v/>
      </c>
      <c r="AB46" s="6">
        <v>2.0</v>
      </c>
      <c r="AC46" s="7" t="str">
        <f t="shared" si="11"/>
        <v/>
      </c>
      <c r="AD46" s="6" t="s">
        <v>36</v>
      </c>
      <c r="AE46" s="7" t="str">
        <f t="shared" si="12"/>
        <v/>
      </c>
      <c r="AF46" s="6">
        <v>2.0</v>
      </c>
      <c r="AG46" s="7" t="str">
        <f t="shared" si="13"/>
        <v/>
      </c>
      <c r="AH46" s="6">
        <v>2.0</v>
      </c>
      <c r="AI46" s="7" t="str">
        <f t="shared" si="14"/>
        <v/>
      </c>
      <c r="AJ46" s="6">
        <v>2.0</v>
      </c>
      <c r="AK46" s="7" t="str">
        <f t="shared" si="15"/>
        <v/>
      </c>
      <c r="AL46" s="6">
        <v>2.0</v>
      </c>
      <c r="AM46" s="7" t="str">
        <f t="shared" si="16"/>
        <v/>
      </c>
      <c r="AN46" s="6">
        <v>2.0</v>
      </c>
      <c r="AO46" s="7" t="str">
        <f t="shared" si="17"/>
        <v/>
      </c>
      <c r="AP46" s="6">
        <v>2.0</v>
      </c>
      <c r="AQ46" s="7" t="str">
        <f t="shared" si="18"/>
        <v/>
      </c>
      <c r="AR46" s="6">
        <v>2.0</v>
      </c>
      <c r="AS46" s="7" t="str">
        <f t="shared" si="19"/>
        <v/>
      </c>
      <c r="AT46" s="6">
        <v>2.0</v>
      </c>
      <c r="AU46" s="7" t="str">
        <f t="shared" si="20"/>
        <v/>
      </c>
      <c r="AV46" s="6">
        <v>2.0</v>
      </c>
      <c r="AW46" s="7" t="str">
        <f t="shared" si="21"/>
        <v/>
      </c>
    </row>
    <row r="47" ht="18.0" customHeight="1">
      <c r="A47" s="3">
        <v>45.0</v>
      </c>
      <c r="B47" s="3" t="s">
        <v>118</v>
      </c>
      <c r="C47" s="3" t="s">
        <v>62</v>
      </c>
      <c r="D47" s="1" t="s">
        <v>99</v>
      </c>
      <c r="E47" s="4" t="s">
        <v>100</v>
      </c>
      <c r="F47" s="4" t="s">
        <v>108</v>
      </c>
      <c r="G47" s="5"/>
      <c r="H47" s="6">
        <v>1.0</v>
      </c>
      <c r="I47" s="7" t="str">
        <f t="shared" si="1"/>
        <v/>
      </c>
      <c r="J47" s="6">
        <v>1.0</v>
      </c>
      <c r="K47" s="7" t="str">
        <f t="shared" si="2"/>
        <v/>
      </c>
      <c r="L47" s="6">
        <v>1.0</v>
      </c>
      <c r="M47" s="7" t="str">
        <f t="shared" si="3"/>
        <v/>
      </c>
      <c r="N47" s="6">
        <v>1.0</v>
      </c>
      <c r="O47" s="7" t="str">
        <f t="shared" si="4"/>
        <v/>
      </c>
      <c r="P47" s="6">
        <v>1.0</v>
      </c>
      <c r="Q47" s="7" t="str">
        <f t="shared" si="5"/>
        <v/>
      </c>
      <c r="R47" s="6">
        <v>1.0</v>
      </c>
      <c r="S47" s="7" t="str">
        <f t="shared" si="6"/>
        <v/>
      </c>
      <c r="T47" s="6">
        <v>1.0</v>
      </c>
      <c r="U47" s="7" t="str">
        <f t="shared" si="7"/>
        <v/>
      </c>
      <c r="V47" s="6" t="s">
        <v>36</v>
      </c>
      <c r="W47" s="7" t="str">
        <f t="shared" si="8"/>
        <v/>
      </c>
      <c r="X47" s="6">
        <v>1.0</v>
      </c>
      <c r="Y47" s="7" t="str">
        <f t="shared" si="9"/>
        <v/>
      </c>
      <c r="Z47" s="6">
        <v>1.0</v>
      </c>
      <c r="AA47" s="7" t="str">
        <f t="shared" si="10"/>
        <v/>
      </c>
      <c r="AB47" s="6">
        <v>1.0</v>
      </c>
      <c r="AC47" s="7" t="str">
        <f t="shared" si="11"/>
        <v/>
      </c>
      <c r="AD47" s="6">
        <v>1.0</v>
      </c>
      <c r="AE47" s="7" t="str">
        <f t="shared" si="12"/>
        <v/>
      </c>
      <c r="AF47" s="6">
        <v>1.0</v>
      </c>
      <c r="AG47" s="7" t="str">
        <f t="shared" si="13"/>
        <v/>
      </c>
      <c r="AH47" s="6">
        <v>1.0</v>
      </c>
      <c r="AI47" s="7" t="str">
        <f t="shared" si="14"/>
        <v/>
      </c>
      <c r="AJ47" s="6">
        <v>1.0</v>
      </c>
      <c r="AK47" s="7" t="str">
        <f t="shared" si="15"/>
        <v/>
      </c>
      <c r="AL47" s="6" t="s">
        <v>36</v>
      </c>
      <c r="AM47" s="7" t="str">
        <f t="shared" si="16"/>
        <v/>
      </c>
      <c r="AN47" s="6">
        <v>1.0</v>
      </c>
      <c r="AO47" s="7" t="str">
        <f t="shared" si="17"/>
        <v/>
      </c>
      <c r="AP47" s="6">
        <v>1.0</v>
      </c>
      <c r="AQ47" s="7" t="str">
        <f t="shared" si="18"/>
        <v/>
      </c>
      <c r="AR47" s="6">
        <v>1.0</v>
      </c>
      <c r="AS47" s="7" t="str">
        <f t="shared" si="19"/>
        <v/>
      </c>
      <c r="AT47" s="6">
        <v>1.0</v>
      </c>
      <c r="AU47" s="7" t="str">
        <f t="shared" si="20"/>
        <v/>
      </c>
      <c r="AV47" s="6">
        <v>1.0</v>
      </c>
      <c r="AW47" s="7" t="str">
        <f t="shared" si="21"/>
        <v/>
      </c>
    </row>
    <row r="48" ht="18.0" customHeight="1">
      <c r="A48" s="3">
        <v>46.0</v>
      </c>
      <c r="B48" s="3" t="s">
        <v>118</v>
      </c>
      <c r="C48" s="3" t="s">
        <v>66</v>
      </c>
      <c r="D48" s="1" t="s">
        <v>102</v>
      </c>
      <c r="E48" s="4" t="s">
        <v>103</v>
      </c>
      <c r="F48" s="4" t="s">
        <v>106</v>
      </c>
      <c r="G48" s="5"/>
      <c r="H48" s="6">
        <v>1.0</v>
      </c>
      <c r="I48" s="7" t="str">
        <f t="shared" si="1"/>
        <v/>
      </c>
      <c r="J48" s="6">
        <v>1.0</v>
      </c>
      <c r="K48" s="7" t="str">
        <f t="shared" si="2"/>
        <v/>
      </c>
      <c r="L48" s="6">
        <v>1.0</v>
      </c>
      <c r="M48" s="7" t="str">
        <f t="shared" si="3"/>
        <v/>
      </c>
      <c r="N48" s="6">
        <v>1.0</v>
      </c>
      <c r="O48" s="7" t="str">
        <f t="shared" si="4"/>
        <v/>
      </c>
      <c r="P48" s="6">
        <v>1.0</v>
      </c>
      <c r="Q48" s="7" t="str">
        <f t="shared" si="5"/>
        <v/>
      </c>
      <c r="R48" s="6">
        <v>1.0</v>
      </c>
      <c r="S48" s="7" t="str">
        <f t="shared" si="6"/>
        <v/>
      </c>
      <c r="T48" s="6">
        <v>1.0</v>
      </c>
      <c r="U48" s="7" t="str">
        <f t="shared" si="7"/>
        <v/>
      </c>
      <c r="V48" s="6" t="s">
        <v>36</v>
      </c>
      <c r="W48" s="7" t="str">
        <f t="shared" si="8"/>
        <v/>
      </c>
      <c r="X48" s="6">
        <v>1.0</v>
      </c>
      <c r="Y48" s="7" t="str">
        <f t="shared" si="9"/>
        <v/>
      </c>
      <c r="Z48" s="6">
        <v>1.0</v>
      </c>
      <c r="AA48" s="7" t="str">
        <f t="shared" si="10"/>
        <v/>
      </c>
      <c r="AB48" s="6">
        <v>2.0</v>
      </c>
      <c r="AC48" s="7" t="str">
        <f t="shared" si="11"/>
        <v/>
      </c>
      <c r="AD48" s="6">
        <v>1.0</v>
      </c>
      <c r="AE48" s="7" t="str">
        <f t="shared" si="12"/>
        <v/>
      </c>
      <c r="AF48" s="6">
        <v>1.0</v>
      </c>
      <c r="AG48" s="7" t="str">
        <f t="shared" si="13"/>
        <v/>
      </c>
      <c r="AH48" s="6">
        <v>1.0</v>
      </c>
      <c r="AI48" s="7" t="str">
        <f t="shared" si="14"/>
        <v/>
      </c>
      <c r="AJ48" s="6" t="s">
        <v>36</v>
      </c>
      <c r="AK48" s="7" t="str">
        <f t="shared" si="15"/>
        <v/>
      </c>
      <c r="AL48" s="6">
        <v>1.0</v>
      </c>
      <c r="AM48" s="7" t="str">
        <f t="shared" si="16"/>
        <v/>
      </c>
      <c r="AN48" s="6">
        <v>1.0</v>
      </c>
      <c r="AO48" s="7" t="str">
        <f t="shared" si="17"/>
        <v/>
      </c>
      <c r="AP48" s="6">
        <v>1.0</v>
      </c>
      <c r="AQ48" s="7" t="str">
        <f t="shared" si="18"/>
        <v/>
      </c>
      <c r="AR48" s="6">
        <v>1.0</v>
      </c>
      <c r="AS48" s="7" t="str">
        <f t="shared" si="19"/>
        <v/>
      </c>
      <c r="AT48" s="6">
        <v>1.0</v>
      </c>
      <c r="AU48" s="7" t="str">
        <f t="shared" si="20"/>
        <v/>
      </c>
      <c r="AV48" s="6" t="s">
        <v>36</v>
      </c>
      <c r="AW48" s="7" t="str">
        <f t="shared" si="21"/>
        <v/>
      </c>
    </row>
    <row r="49" ht="18.0" customHeight="1">
      <c r="A49" s="3">
        <v>47.0</v>
      </c>
      <c r="B49" s="3" t="s">
        <v>119</v>
      </c>
      <c r="C49" s="3" t="s">
        <v>71</v>
      </c>
      <c r="D49" s="1" t="s">
        <v>102</v>
      </c>
      <c r="E49" s="4" t="s">
        <v>107</v>
      </c>
      <c r="F49" s="4" t="s">
        <v>104</v>
      </c>
      <c r="G49" s="5"/>
      <c r="H49" s="6">
        <v>2.0</v>
      </c>
      <c r="I49" s="7" t="str">
        <f t="shared" si="1"/>
        <v/>
      </c>
      <c r="J49" s="6">
        <v>2.0</v>
      </c>
      <c r="K49" s="7" t="str">
        <f t="shared" si="2"/>
        <v/>
      </c>
      <c r="L49" s="6" t="s">
        <v>36</v>
      </c>
      <c r="M49" s="7" t="str">
        <f t="shared" si="3"/>
        <v/>
      </c>
      <c r="N49" s="6">
        <v>2.0</v>
      </c>
      <c r="O49" s="7" t="str">
        <f t="shared" si="4"/>
        <v/>
      </c>
      <c r="P49" s="6">
        <v>2.0</v>
      </c>
      <c r="Q49" s="7" t="str">
        <f t="shared" si="5"/>
        <v/>
      </c>
      <c r="R49" s="6">
        <v>2.0</v>
      </c>
      <c r="S49" s="7" t="str">
        <f t="shared" si="6"/>
        <v/>
      </c>
      <c r="T49" s="6">
        <v>2.0</v>
      </c>
      <c r="U49" s="7" t="str">
        <f t="shared" si="7"/>
        <v/>
      </c>
      <c r="V49" s="6">
        <v>2.0</v>
      </c>
      <c r="W49" s="7" t="str">
        <f t="shared" si="8"/>
        <v/>
      </c>
      <c r="X49" s="6">
        <v>2.0</v>
      </c>
      <c r="Y49" s="7" t="str">
        <f t="shared" si="9"/>
        <v/>
      </c>
      <c r="Z49" s="6" t="s">
        <v>36</v>
      </c>
      <c r="AA49" s="7" t="str">
        <f t="shared" si="10"/>
        <v/>
      </c>
      <c r="AB49" s="6">
        <v>2.0</v>
      </c>
      <c r="AC49" s="7" t="str">
        <f t="shared" si="11"/>
        <v/>
      </c>
      <c r="AD49" s="6" t="s">
        <v>36</v>
      </c>
      <c r="AE49" s="7" t="str">
        <f t="shared" si="12"/>
        <v/>
      </c>
      <c r="AF49" s="6">
        <v>2.0</v>
      </c>
      <c r="AG49" s="7" t="str">
        <f t="shared" si="13"/>
        <v/>
      </c>
      <c r="AH49" s="6">
        <v>2.0</v>
      </c>
      <c r="AI49" s="7" t="str">
        <f t="shared" si="14"/>
        <v/>
      </c>
      <c r="AJ49" s="6">
        <v>2.0</v>
      </c>
      <c r="AK49" s="7" t="str">
        <f t="shared" si="15"/>
        <v/>
      </c>
      <c r="AL49" s="6">
        <v>2.0</v>
      </c>
      <c r="AM49" s="7" t="str">
        <f t="shared" si="16"/>
        <v/>
      </c>
      <c r="AN49" s="6">
        <v>2.0</v>
      </c>
      <c r="AO49" s="7" t="str">
        <f t="shared" si="17"/>
        <v/>
      </c>
      <c r="AP49" s="6">
        <v>2.0</v>
      </c>
      <c r="AQ49" s="7" t="str">
        <f t="shared" si="18"/>
        <v/>
      </c>
      <c r="AR49" s="6">
        <v>1.0</v>
      </c>
      <c r="AS49" s="7" t="str">
        <f t="shared" si="19"/>
        <v/>
      </c>
      <c r="AT49" s="6">
        <v>2.0</v>
      </c>
      <c r="AU49" s="7" t="str">
        <f t="shared" si="20"/>
        <v/>
      </c>
      <c r="AV49" s="6">
        <v>2.0</v>
      </c>
      <c r="AW49" s="7" t="str">
        <f t="shared" si="21"/>
        <v/>
      </c>
    </row>
    <row r="50" ht="18.0" customHeight="1">
      <c r="A50" s="3">
        <v>48.0</v>
      </c>
      <c r="B50" s="3" t="s">
        <v>119</v>
      </c>
      <c r="C50" s="8">
        <v>0.16666666666666666</v>
      </c>
      <c r="D50" s="1" t="s">
        <v>99</v>
      </c>
      <c r="E50" s="4" t="s">
        <v>109</v>
      </c>
      <c r="F50" s="4" t="s">
        <v>101</v>
      </c>
      <c r="G50" s="5"/>
      <c r="H50" s="6" t="s">
        <v>36</v>
      </c>
      <c r="I50" s="7" t="str">
        <f t="shared" si="1"/>
        <v/>
      </c>
      <c r="J50" s="6">
        <v>1.0</v>
      </c>
      <c r="K50" s="7" t="str">
        <f t="shared" si="2"/>
        <v/>
      </c>
      <c r="L50" s="6" t="s">
        <v>36</v>
      </c>
      <c r="M50" s="7" t="str">
        <f t="shared" si="3"/>
        <v/>
      </c>
      <c r="N50" s="6" t="s">
        <v>36</v>
      </c>
      <c r="O50" s="7" t="str">
        <f t="shared" si="4"/>
        <v/>
      </c>
      <c r="P50" s="6">
        <v>1.0</v>
      </c>
      <c r="Q50" s="7" t="str">
        <f t="shared" si="5"/>
        <v/>
      </c>
      <c r="R50" s="6">
        <v>1.0</v>
      </c>
      <c r="S50" s="7" t="str">
        <f t="shared" si="6"/>
        <v/>
      </c>
      <c r="T50" s="6">
        <v>1.0</v>
      </c>
      <c r="U50" s="7" t="str">
        <f t="shared" si="7"/>
        <v/>
      </c>
      <c r="V50" s="6">
        <v>1.0</v>
      </c>
      <c r="W50" s="7" t="str">
        <f t="shared" si="8"/>
        <v/>
      </c>
      <c r="X50" s="6">
        <v>1.0</v>
      </c>
      <c r="Y50" s="7" t="str">
        <f t="shared" si="9"/>
        <v/>
      </c>
      <c r="Z50" s="6" t="s">
        <v>36</v>
      </c>
      <c r="AA50" s="7" t="str">
        <f t="shared" si="10"/>
        <v/>
      </c>
      <c r="AB50" s="6" t="s">
        <v>36</v>
      </c>
      <c r="AC50" s="7" t="str">
        <f t="shared" si="11"/>
        <v/>
      </c>
      <c r="AD50" s="6" t="s">
        <v>36</v>
      </c>
      <c r="AE50" s="7" t="str">
        <f t="shared" si="12"/>
        <v/>
      </c>
      <c r="AF50" s="6">
        <v>1.0</v>
      </c>
      <c r="AG50" s="7" t="str">
        <f t="shared" si="13"/>
        <v/>
      </c>
      <c r="AH50" s="6">
        <v>1.0</v>
      </c>
      <c r="AI50" s="7" t="str">
        <f t="shared" si="14"/>
        <v/>
      </c>
      <c r="AJ50" s="6">
        <v>1.0</v>
      </c>
      <c r="AK50" s="7" t="str">
        <f t="shared" si="15"/>
        <v/>
      </c>
      <c r="AL50" s="6">
        <v>1.0</v>
      </c>
      <c r="AM50" s="7" t="str">
        <f t="shared" si="16"/>
        <v/>
      </c>
      <c r="AN50" s="6">
        <v>1.0</v>
      </c>
      <c r="AO50" s="7" t="str">
        <f t="shared" si="17"/>
        <v/>
      </c>
      <c r="AP50" s="6">
        <v>1.0</v>
      </c>
      <c r="AQ50" s="7" t="str">
        <f t="shared" si="18"/>
        <v/>
      </c>
      <c r="AR50" s="6">
        <v>1.0</v>
      </c>
      <c r="AS50" s="7" t="str">
        <f t="shared" si="19"/>
        <v/>
      </c>
      <c r="AT50" s="6">
        <v>1.0</v>
      </c>
      <c r="AU50" s="7" t="str">
        <f t="shared" si="20"/>
        <v/>
      </c>
      <c r="AV50" s="6">
        <v>1.0</v>
      </c>
      <c r="AW50" s="7" t="str">
        <f t="shared" si="21"/>
        <v/>
      </c>
    </row>
    <row r="51" ht="18.0" customHeight="1">
      <c r="A51" s="3">
        <v>49.0</v>
      </c>
      <c r="B51" s="3" t="s">
        <v>119</v>
      </c>
      <c r="C51" s="3" t="s">
        <v>32</v>
      </c>
      <c r="D51" s="1" t="s">
        <v>41</v>
      </c>
      <c r="E51" s="4" t="s">
        <v>51</v>
      </c>
      <c r="F51" s="4" t="s">
        <v>42</v>
      </c>
      <c r="G51" s="5"/>
      <c r="H51" s="6">
        <v>1.0</v>
      </c>
      <c r="I51" s="7" t="str">
        <f t="shared" si="1"/>
        <v/>
      </c>
      <c r="J51" s="6" t="s">
        <v>36</v>
      </c>
      <c r="K51" s="7" t="str">
        <f t="shared" si="2"/>
        <v/>
      </c>
      <c r="L51" s="6">
        <v>2.0</v>
      </c>
      <c r="M51" s="7" t="str">
        <f t="shared" si="3"/>
        <v/>
      </c>
      <c r="N51" s="6">
        <v>1.0</v>
      </c>
      <c r="O51" s="7" t="str">
        <f t="shared" si="4"/>
        <v/>
      </c>
      <c r="P51" s="6" t="s">
        <v>36</v>
      </c>
      <c r="Q51" s="7" t="str">
        <f t="shared" si="5"/>
        <v/>
      </c>
      <c r="R51" s="6">
        <v>1.0</v>
      </c>
      <c r="S51" s="7" t="str">
        <f t="shared" si="6"/>
        <v/>
      </c>
      <c r="T51" s="6">
        <v>1.0</v>
      </c>
      <c r="U51" s="7" t="str">
        <f t="shared" si="7"/>
        <v/>
      </c>
      <c r="V51" s="6" t="s">
        <v>36</v>
      </c>
      <c r="W51" s="7" t="str">
        <f t="shared" si="8"/>
        <v/>
      </c>
      <c r="X51" s="6">
        <v>1.0</v>
      </c>
      <c r="Y51" s="7" t="str">
        <f t="shared" si="9"/>
        <v/>
      </c>
      <c r="Z51" s="6" t="s">
        <v>36</v>
      </c>
      <c r="AA51" s="7" t="str">
        <f t="shared" si="10"/>
        <v/>
      </c>
      <c r="AB51" s="6" t="s">
        <v>36</v>
      </c>
      <c r="AC51" s="7" t="str">
        <f t="shared" si="11"/>
        <v/>
      </c>
      <c r="AD51" s="6">
        <v>2.0</v>
      </c>
      <c r="AE51" s="7" t="str">
        <f t="shared" si="12"/>
        <v/>
      </c>
      <c r="AF51" s="6" t="s">
        <v>49</v>
      </c>
      <c r="AG51" s="7" t="str">
        <f t="shared" si="13"/>
        <v/>
      </c>
      <c r="AH51" s="6" t="s">
        <v>36</v>
      </c>
      <c r="AI51" s="7" t="str">
        <f t="shared" si="14"/>
        <v/>
      </c>
      <c r="AJ51" s="6" t="s">
        <v>36</v>
      </c>
      <c r="AK51" s="7" t="str">
        <f t="shared" si="15"/>
        <v/>
      </c>
      <c r="AL51" s="6">
        <v>1.0</v>
      </c>
      <c r="AM51" s="7" t="str">
        <f t="shared" si="16"/>
        <v/>
      </c>
      <c r="AN51" s="6" t="s">
        <v>36</v>
      </c>
      <c r="AO51" s="7" t="str">
        <f t="shared" si="17"/>
        <v/>
      </c>
      <c r="AP51" s="6">
        <v>2.0</v>
      </c>
      <c r="AQ51" s="7" t="str">
        <f t="shared" si="18"/>
        <v/>
      </c>
      <c r="AR51" s="6">
        <v>2.0</v>
      </c>
      <c r="AS51" s="7" t="str">
        <f t="shared" si="19"/>
        <v/>
      </c>
      <c r="AT51" s="6">
        <v>1.0</v>
      </c>
      <c r="AU51" s="7" t="str">
        <f t="shared" si="20"/>
        <v/>
      </c>
      <c r="AV51" s="6">
        <v>1.0</v>
      </c>
      <c r="AW51" s="7" t="str">
        <f t="shared" si="21"/>
        <v/>
      </c>
    </row>
    <row r="52" ht="18.0" customHeight="1">
      <c r="A52" s="3">
        <v>50.0</v>
      </c>
      <c r="B52" s="3" t="s">
        <v>119</v>
      </c>
      <c r="C52" s="3" t="s">
        <v>32</v>
      </c>
      <c r="D52" s="1" t="s">
        <v>41</v>
      </c>
      <c r="E52" s="4" t="s">
        <v>43</v>
      </c>
      <c r="F52" s="4" t="s">
        <v>50</v>
      </c>
      <c r="G52" s="5"/>
      <c r="H52" s="6">
        <v>1.0</v>
      </c>
      <c r="I52" s="7" t="str">
        <f t="shared" si="1"/>
        <v/>
      </c>
      <c r="J52" s="6">
        <v>1.0</v>
      </c>
      <c r="K52" s="7" t="str">
        <f t="shared" si="2"/>
        <v/>
      </c>
      <c r="L52" s="6">
        <v>2.0</v>
      </c>
      <c r="M52" s="7" t="str">
        <f t="shared" si="3"/>
        <v/>
      </c>
      <c r="N52" s="6">
        <v>1.0</v>
      </c>
      <c r="O52" s="7" t="str">
        <f t="shared" si="4"/>
        <v/>
      </c>
      <c r="P52" s="6">
        <v>1.0</v>
      </c>
      <c r="Q52" s="7" t="str">
        <f t="shared" si="5"/>
        <v/>
      </c>
      <c r="R52" s="6">
        <v>1.0</v>
      </c>
      <c r="S52" s="7" t="str">
        <f t="shared" si="6"/>
        <v/>
      </c>
      <c r="T52" s="6" t="s">
        <v>36</v>
      </c>
      <c r="U52" s="7" t="str">
        <f t="shared" si="7"/>
        <v/>
      </c>
      <c r="V52" s="6">
        <v>1.0</v>
      </c>
      <c r="W52" s="7" t="str">
        <f t="shared" si="8"/>
        <v/>
      </c>
      <c r="X52" s="6">
        <v>1.0</v>
      </c>
      <c r="Y52" s="7" t="str">
        <f t="shared" si="9"/>
        <v/>
      </c>
      <c r="Z52" s="6">
        <v>2.0</v>
      </c>
      <c r="AA52" s="7" t="str">
        <f t="shared" si="10"/>
        <v/>
      </c>
      <c r="AB52" s="6">
        <v>1.0</v>
      </c>
      <c r="AC52" s="7" t="str">
        <f t="shared" si="11"/>
        <v/>
      </c>
      <c r="AD52" s="6" t="s">
        <v>36</v>
      </c>
      <c r="AE52" s="7" t="str">
        <f t="shared" si="12"/>
        <v/>
      </c>
      <c r="AF52" s="6">
        <v>1.0</v>
      </c>
      <c r="AG52" s="7" t="str">
        <f t="shared" si="13"/>
        <v/>
      </c>
      <c r="AH52" s="6">
        <v>1.0</v>
      </c>
      <c r="AI52" s="7" t="str">
        <f t="shared" si="14"/>
        <v/>
      </c>
      <c r="AJ52" s="6" t="s">
        <v>36</v>
      </c>
      <c r="AK52" s="7" t="str">
        <f t="shared" si="15"/>
        <v/>
      </c>
      <c r="AL52" s="6">
        <v>1.0</v>
      </c>
      <c r="AM52" s="7" t="str">
        <f t="shared" si="16"/>
        <v/>
      </c>
      <c r="AN52" s="6">
        <v>1.0</v>
      </c>
      <c r="AO52" s="7" t="str">
        <f t="shared" si="17"/>
        <v/>
      </c>
      <c r="AP52" s="6">
        <v>1.0</v>
      </c>
      <c r="AQ52" s="7" t="str">
        <f t="shared" si="18"/>
        <v/>
      </c>
      <c r="AR52" s="6">
        <v>1.0</v>
      </c>
      <c r="AS52" s="7" t="str">
        <f t="shared" si="19"/>
        <v/>
      </c>
      <c r="AT52" s="6">
        <v>1.0</v>
      </c>
      <c r="AU52" s="7" t="str">
        <f t="shared" si="20"/>
        <v/>
      </c>
      <c r="AV52" s="6">
        <v>1.0</v>
      </c>
      <c r="AW52" s="7" t="str">
        <f t="shared" si="21"/>
        <v/>
      </c>
    </row>
    <row r="53" ht="18.0" customHeight="1">
      <c r="A53" s="3">
        <v>51.0</v>
      </c>
      <c r="B53" s="3" t="s">
        <v>120</v>
      </c>
      <c r="C53" s="3" t="s">
        <v>53</v>
      </c>
      <c r="D53" s="1" t="s">
        <v>54</v>
      </c>
      <c r="E53" s="4" t="s">
        <v>56</v>
      </c>
      <c r="F53" s="4" t="s">
        <v>57</v>
      </c>
      <c r="G53" s="5"/>
      <c r="H53" s="6">
        <v>1.0</v>
      </c>
      <c r="I53" s="7" t="str">
        <f t="shared" si="1"/>
        <v/>
      </c>
      <c r="J53" s="6">
        <v>1.0</v>
      </c>
      <c r="K53" s="7" t="str">
        <f t="shared" si="2"/>
        <v/>
      </c>
      <c r="L53" s="6">
        <v>1.0</v>
      </c>
      <c r="M53" s="7" t="str">
        <f t="shared" si="3"/>
        <v/>
      </c>
      <c r="N53" s="6">
        <v>1.0</v>
      </c>
      <c r="O53" s="7" t="str">
        <f t="shared" si="4"/>
        <v/>
      </c>
      <c r="P53" s="6">
        <v>1.0</v>
      </c>
      <c r="Q53" s="7" t="str">
        <f t="shared" si="5"/>
        <v/>
      </c>
      <c r="R53" s="6">
        <v>1.0</v>
      </c>
      <c r="S53" s="7" t="str">
        <f t="shared" si="6"/>
        <v/>
      </c>
      <c r="T53" s="6">
        <v>1.0</v>
      </c>
      <c r="U53" s="7" t="str">
        <f t="shared" si="7"/>
        <v/>
      </c>
      <c r="V53" s="6">
        <v>1.0</v>
      </c>
      <c r="W53" s="7" t="str">
        <f t="shared" si="8"/>
        <v/>
      </c>
      <c r="X53" s="6">
        <v>1.0</v>
      </c>
      <c r="Y53" s="7" t="str">
        <f t="shared" si="9"/>
        <v/>
      </c>
      <c r="Z53" s="6">
        <v>1.0</v>
      </c>
      <c r="AA53" s="7" t="str">
        <f t="shared" si="10"/>
        <v/>
      </c>
      <c r="AB53" s="6">
        <v>1.0</v>
      </c>
      <c r="AC53" s="7" t="str">
        <f t="shared" si="11"/>
        <v/>
      </c>
      <c r="AD53" s="6" t="s">
        <v>36</v>
      </c>
      <c r="AE53" s="7" t="str">
        <f t="shared" si="12"/>
        <v/>
      </c>
      <c r="AF53" s="6">
        <v>1.0</v>
      </c>
      <c r="AG53" s="7" t="str">
        <f t="shared" si="13"/>
        <v/>
      </c>
      <c r="AH53" s="6">
        <v>1.0</v>
      </c>
      <c r="AI53" s="7" t="str">
        <f t="shared" si="14"/>
        <v/>
      </c>
      <c r="AJ53" s="6">
        <v>1.0</v>
      </c>
      <c r="AK53" s="7" t="str">
        <f t="shared" si="15"/>
        <v/>
      </c>
      <c r="AL53" s="6">
        <v>1.0</v>
      </c>
      <c r="AM53" s="7" t="str">
        <f t="shared" si="16"/>
        <v/>
      </c>
      <c r="AN53" s="6">
        <v>1.0</v>
      </c>
      <c r="AO53" s="7" t="str">
        <f t="shared" si="17"/>
        <v/>
      </c>
      <c r="AP53" s="6">
        <v>1.0</v>
      </c>
      <c r="AQ53" s="7" t="str">
        <f t="shared" si="18"/>
        <v/>
      </c>
      <c r="AR53" s="6">
        <v>2.0</v>
      </c>
      <c r="AS53" s="7" t="str">
        <f t="shared" si="19"/>
        <v/>
      </c>
      <c r="AT53" s="6">
        <v>1.0</v>
      </c>
      <c r="AU53" s="7" t="str">
        <f t="shared" si="20"/>
        <v/>
      </c>
      <c r="AV53" s="6">
        <v>1.0</v>
      </c>
      <c r="AW53" s="7" t="str">
        <f t="shared" si="21"/>
        <v/>
      </c>
    </row>
    <row r="54" ht="18.0" customHeight="1">
      <c r="A54" s="3">
        <v>52.0</v>
      </c>
      <c r="B54" s="3" t="s">
        <v>120</v>
      </c>
      <c r="C54" s="3" t="s">
        <v>53</v>
      </c>
      <c r="D54" s="1" t="s">
        <v>54</v>
      </c>
      <c r="E54" s="4" t="s">
        <v>58</v>
      </c>
      <c r="F54" s="4" t="s">
        <v>55</v>
      </c>
      <c r="G54" s="5"/>
      <c r="H54" s="6">
        <v>2.0</v>
      </c>
      <c r="I54" s="7" t="str">
        <f t="shared" si="1"/>
        <v/>
      </c>
      <c r="J54" s="6">
        <v>2.0</v>
      </c>
      <c r="K54" s="7" t="str">
        <f t="shared" si="2"/>
        <v/>
      </c>
      <c r="L54" s="6">
        <v>2.0</v>
      </c>
      <c r="M54" s="7" t="str">
        <f t="shared" si="3"/>
        <v/>
      </c>
      <c r="N54" s="6">
        <v>2.0</v>
      </c>
      <c r="O54" s="7" t="str">
        <f t="shared" si="4"/>
        <v/>
      </c>
      <c r="P54" s="6">
        <v>2.0</v>
      </c>
      <c r="Q54" s="7" t="str">
        <f t="shared" si="5"/>
        <v/>
      </c>
      <c r="R54" s="6">
        <v>1.0</v>
      </c>
      <c r="S54" s="7" t="str">
        <f t="shared" si="6"/>
        <v/>
      </c>
      <c r="T54" s="6">
        <v>2.0</v>
      </c>
      <c r="U54" s="7" t="str">
        <f t="shared" si="7"/>
        <v/>
      </c>
      <c r="V54" s="6">
        <v>2.0</v>
      </c>
      <c r="W54" s="7" t="str">
        <f t="shared" si="8"/>
        <v/>
      </c>
      <c r="X54" s="6">
        <v>2.0</v>
      </c>
      <c r="Y54" s="7" t="str">
        <f t="shared" si="9"/>
        <v/>
      </c>
      <c r="Z54" s="6">
        <v>2.0</v>
      </c>
      <c r="AA54" s="7" t="str">
        <f t="shared" si="10"/>
        <v/>
      </c>
      <c r="AB54" s="6">
        <v>2.0</v>
      </c>
      <c r="AC54" s="7" t="str">
        <f t="shared" si="11"/>
        <v/>
      </c>
      <c r="AD54" s="6">
        <v>2.0</v>
      </c>
      <c r="AE54" s="7" t="str">
        <f t="shared" si="12"/>
        <v/>
      </c>
      <c r="AF54" s="6" t="s">
        <v>49</v>
      </c>
      <c r="AG54" s="7" t="str">
        <f t="shared" si="13"/>
        <v/>
      </c>
      <c r="AH54" s="6">
        <v>1.0</v>
      </c>
      <c r="AI54" s="7" t="str">
        <f t="shared" si="14"/>
        <v/>
      </c>
      <c r="AJ54" s="6">
        <v>2.0</v>
      </c>
      <c r="AK54" s="7" t="str">
        <f t="shared" si="15"/>
        <v/>
      </c>
      <c r="AL54" s="6" t="s">
        <v>36</v>
      </c>
      <c r="AM54" s="7" t="str">
        <f t="shared" si="16"/>
        <v/>
      </c>
      <c r="AN54" s="6">
        <v>2.0</v>
      </c>
      <c r="AO54" s="7" t="str">
        <f t="shared" si="17"/>
        <v/>
      </c>
      <c r="AP54" s="6">
        <v>2.0</v>
      </c>
      <c r="AQ54" s="7" t="str">
        <f t="shared" si="18"/>
        <v/>
      </c>
      <c r="AR54" s="6">
        <v>2.0</v>
      </c>
      <c r="AS54" s="7" t="str">
        <f t="shared" si="19"/>
        <v/>
      </c>
      <c r="AT54" s="6">
        <v>2.0</v>
      </c>
      <c r="AU54" s="7" t="str">
        <f t="shared" si="20"/>
        <v/>
      </c>
      <c r="AV54" s="6">
        <v>2.0</v>
      </c>
      <c r="AW54" s="7" t="str">
        <f t="shared" si="21"/>
        <v/>
      </c>
    </row>
    <row r="55" ht="18.0" customHeight="1">
      <c r="A55" s="3">
        <v>53.0</v>
      </c>
      <c r="B55" s="3" t="s">
        <v>120</v>
      </c>
      <c r="C55" s="3" t="s">
        <v>45</v>
      </c>
      <c r="D55" s="1" t="s">
        <v>33</v>
      </c>
      <c r="E55" s="4" t="s">
        <v>40</v>
      </c>
      <c r="F55" s="4" t="s">
        <v>34</v>
      </c>
      <c r="G55" s="5"/>
      <c r="H55" s="6" t="s">
        <v>36</v>
      </c>
      <c r="I55" s="7" t="str">
        <f t="shared" si="1"/>
        <v/>
      </c>
      <c r="J55" s="6">
        <v>2.0</v>
      </c>
      <c r="K55" s="7" t="str">
        <f t="shared" si="2"/>
        <v/>
      </c>
      <c r="L55" s="6">
        <v>2.0</v>
      </c>
      <c r="M55" s="7" t="str">
        <f t="shared" si="3"/>
        <v/>
      </c>
      <c r="N55" s="6" t="s">
        <v>36</v>
      </c>
      <c r="O55" s="7" t="str">
        <f t="shared" si="4"/>
        <v/>
      </c>
      <c r="P55" s="6" t="s">
        <v>36</v>
      </c>
      <c r="Q55" s="7" t="str">
        <f t="shared" si="5"/>
        <v/>
      </c>
      <c r="R55" s="6" t="s">
        <v>36</v>
      </c>
      <c r="S55" s="7" t="str">
        <f t="shared" si="6"/>
        <v/>
      </c>
      <c r="T55" s="6" t="s">
        <v>36</v>
      </c>
      <c r="U55" s="7" t="str">
        <f t="shared" si="7"/>
        <v/>
      </c>
      <c r="V55" s="6">
        <v>2.0</v>
      </c>
      <c r="W55" s="7" t="str">
        <f t="shared" si="8"/>
        <v/>
      </c>
      <c r="X55" s="6">
        <v>2.0</v>
      </c>
      <c r="Y55" s="7" t="str">
        <f t="shared" si="9"/>
        <v/>
      </c>
      <c r="Z55" s="6">
        <v>2.0</v>
      </c>
      <c r="AA55" s="7" t="str">
        <f t="shared" si="10"/>
        <v/>
      </c>
      <c r="AB55" s="6">
        <v>2.0</v>
      </c>
      <c r="AC55" s="7" t="str">
        <f t="shared" si="11"/>
        <v/>
      </c>
      <c r="AD55" s="6" t="s">
        <v>36</v>
      </c>
      <c r="AE55" s="7" t="str">
        <f t="shared" si="12"/>
        <v/>
      </c>
      <c r="AF55" s="6" t="s">
        <v>49</v>
      </c>
      <c r="AG55" s="7" t="str">
        <f t="shared" si="13"/>
        <v/>
      </c>
      <c r="AH55" s="6" t="s">
        <v>36</v>
      </c>
      <c r="AI55" s="7" t="str">
        <f t="shared" si="14"/>
        <v/>
      </c>
      <c r="AJ55" s="6">
        <v>2.0</v>
      </c>
      <c r="AK55" s="7" t="str">
        <f t="shared" si="15"/>
        <v/>
      </c>
      <c r="AL55" s="6" t="s">
        <v>36</v>
      </c>
      <c r="AM55" s="7" t="str">
        <f t="shared" si="16"/>
        <v/>
      </c>
      <c r="AN55" s="6">
        <v>2.0</v>
      </c>
      <c r="AO55" s="7" t="str">
        <f t="shared" si="17"/>
        <v/>
      </c>
      <c r="AP55" s="6">
        <v>2.0</v>
      </c>
      <c r="AQ55" s="7" t="str">
        <f t="shared" si="18"/>
        <v/>
      </c>
      <c r="AR55" s="6">
        <v>2.0</v>
      </c>
      <c r="AS55" s="7" t="str">
        <f t="shared" si="19"/>
        <v/>
      </c>
      <c r="AT55" s="6">
        <v>2.0</v>
      </c>
      <c r="AU55" s="7" t="str">
        <f t="shared" si="20"/>
        <v/>
      </c>
      <c r="AV55" s="6" t="s">
        <v>36</v>
      </c>
      <c r="AW55" s="7" t="str">
        <f t="shared" si="21"/>
        <v/>
      </c>
    </row>
    <row r="56" ht="18.0" customHeight="1">
      <c r="A56" s="3">
        <v>54.0</v>
      </c>
      <c r="B56" s="3" t="s">
        <v>120</v>
      </c>
      <c r="C56" s="3" t="s">
        <v>45</v>
      </c>
      <c r="D56" s="1" t="s">
        <v>33</v>
      </c>
      <c r="E56" s="4" t="s">
        <v>35</v>
      </c>
      <c r="F56" s="4" t="s">
        <v>39</v>
      </c>
      <c r="G56" s="5"/>
      <c r="H56" s="6">
        <v>2.0</v>
      </c>
      <c r="I56" s="7" t="str">
        <f t="shared" si="1"/>
        <v/>
      </c>
      <c r="J56" s="6" t="s">
        <v>36</v>
      </c>
      <c r="K56" s="7" t="str">
        <f t="shared" si="2"/>
        <v/>
      </c>
      <c r="L56" s="6">
        <v>1.0</v>
      </c>
      <c r="M56" s="7" t="str">
        <f t="shared" si="3"/>
        <v/>
      </c>
      <c r="N56" s="6">
        <v>1.0</v>
      </c>
      <c r="O56" s="7" t="str">
        <f t="shared" si="4"/>
        <v/>
      </c>
      <c r="P56" s="6" t="s">
        <v>36</v>
      </c>
      <c r="Q56" s="7" t="str">
        <f t="shared" si="5"/>
        <v/>
      </c>
      <c r="R56" s="6" t="s">
        <v>36</v>
      </c>
      <c r="S56" s="7" t="str">
        <f t="shared" si="6"/>
        <v/>
      </c>
      <c r="T56" s="6">
        <v>2.0</v>
      </c>
      <c r="U56" s="7" t="str">
        <f t="shared" si="7"/>
        <v/>
      </c>
      <c r="V56" s="6">
        <v>2.0</v>
      </c>
      <c r="W56" s="7" t="str">
        <f t="shared" si="8"/>
        <v/>
      </c>
      <c r="X56" s="6">
        <v>2.0</v>
      </c>
      <c r="Y56" s="7" t="str">
        <f t="shared" si="9"/>
        <v/>
      </c>
      <c r="Z56" s="6">
        <v>1.0</v>
      </c>
      <c r="AA56" s="7" t="str">
        <f t="shared" si="10"/>
        <v/>
      </c>
      <c r="AB56" s="6">
        <v>2.0</v>
      </c>
      <c r="AC56" s="7" t="str">
        <f t="shared" si="11"/>
        <v/>
      </c>
      <c r="AD56" s="6">
        <v>1.0</v>
      </c>
      <c r="AE56" s="7" t="str">
        <f t="shared" si="12"/>
        <v/>
      </c>
      <c r="AF56" s="6">
        <v>1.0</v>
      </c>
      <c r="AG56" s="7" t="str">
        <f t="shared" si="13"/>
        <v/>
      </c>
      <c r="AH56" s="6">
        <v>2.0</v>
      </c>
      <c r="AI56" s="7" t="str">
        <f t="shared" si="14"/>
        <v/>
      </c>
      <c r="AJ56" s="6">
        <v>2.0</v>
      </c>
      <c r="AK56" s="7" t="str">
        <f t="shared" si="15"/>
        <v/>
      </c>
      <c r="AL56" s="6">
        <v>1.0</v>
      </c>
      <c r="AM56" s="7" t="str">
        <f t="shared" si="16"/>
        <v/>
      </c>
      <c r="AN56" s="6">
        <v>2.0</v>
      </c>
      <c r="AO56" s="7" t="str">
        <f t="shared" si="17"/>
        <v/>
      </c>
      <c r="AP56" s="6">
        <v>2.0</v>
      </c>
      <c r="AQ56" s="7" t="str">
        <f t="shared" si="18"/>
        <v/>
      </c>
      <c r="AR56" s="6">
        <v>1.0</v>
      </c>
      <c r="AS56" s="7" t="str">
        <f t="shared" si="19"/>
        <v/>
      </c>
      <c r="AT56" s="6">
        <v>1.0</v>
      </c>
      <c r="AU56" s="7" t="str">
        <f t="shared" si="20"/>
        <v/>
      </c>
      <c r="AV56" s="6" t="s">
        <v>36</v>
      </c>
      <c r="AW56" s="7" t="str">
        <f t="shared" si="21"/>
        <v/>
      </c>
    </row>
    <row r="57" ht="18.0" customHeight="1">
      <c r="A57" s="3">
        <v>55.0</v>
      </c>
      <c r="B57" s="3" t="s">
        <v>120</v>
      </c>
      <c r="C57" s="3" t="s">
        <v>66</v>
      </c>
      <c r="D57" s="1" t="s">
        <v>63</v>
      </c>
      <c r="E57" s="4" t="s">
        <v>65</v>
      </c>
      <c r="F57" s="4" t="s">
        <v>72</v>
      </c>
      <c r="G57" s="5"/>
      <c r="H57" s="6" t="s">
        <v>36</v>
      </c>
      <c r="I57" s="7" t="str">
        <f t="shared" si="1"/>
        <v/>
      </c>
      <c r="J57" s="6">
        <v>2.0</v>
      </c>
      <c r="K57" s="7" t="str">
        <f t="shared" si="2"/>
        <v/>
      </c>
      <c r="L57" s="6" t="s">
        <v>36</v>
      </c>
      <c r="M57" s="7" t="str">
        <f t="shared" si="3"/>
        <v/>
      </c>
      <c r="N57" s="6">
        <v>2.0</v>
      </c>
      <c r="O57" s="7" t="str">
        <f t="shared" si="4"/>
        <v/>
      </c>
      <c r="P57" s="6">
        <v>2.0</v>
      </c>
      <c r="Q57" s="7" t="str">
        <f t="shared" si="5"/>
        <v/>
      </c>
      <c r="R57" s="6">
        <v>2.0</v>
      </c>
      <c r="S57" s="7" t="str">
        <f t="shared" si="6"/>
        <v/>
      </c>
      <c r="T57" s="6">
        <v>2.0</v>
      </c>
      <c r="U57" s="7" t="str">
        <f t="shared" si="7"/>
        <v/>
      </c>
      <c r="V57" s="6">
        <v>2.0</v>
      </c>
      <c r="W57" s="7" t="str">
        <f t="shared" si="8"/>
        <v/>
      </c>
      <c r="X57" s="6">
        <v>2.0</v>
      </c>
      <c r="Y57" s="7" t="str">
        <f t="shared" si="9"/>
        <v/>
      </c>
      <c r="Z57" s="6" t="s">
        <v>36</v>
      </c>
      <c r="AA57" s="7" t="str">
        <f t="shared" si="10"/>
        <v/>
      </c>
      <c r="AB57" s="6" t="s">
        <v>36</v>
      </c>
      <c r="AC57" s="7" t="str">
        <f t="shared" si="11"/>
        <v/>
      </c>
      <c r="AD57" s="6">
        <v>2.0</v>
      </c>
      <c r="AE57" s="7" t="str">
        <f t="shared" si="12"/>
        <v/>
      </c>
      <c r="AF57" s="6">
        <v>2.0</v>
      </c>
      <c r="AG57" s="7" t="str">
        <f t="shared" si="13"/>
        <v/>
      </c>
      <c r="AH57" s="6">
        <v>2.0</v>
      </c>
      <c r="AI57" s="7" t="str">
        <f t="shared" si="14"/>
        <v/>
      </c>
      <c r="AJ57" s="6">
        <v>2.0</v>
      </c>
      <c r="AK57" s="7" t="str">
        <f t="shared" si="15"/>
        <v/>
      </c>
      <c r="AL57" s="6">
        <v>2.0</v>
      </c>
      <c r="AM57" s="7" t="str">
        <f t="shared" si="16"/>
        <v/>
      </c>
      <c r="AN57" s="6">
        <v>2.0</v>
      </c>
      <c r="AO57" s="7" t="str">
        <f t="shared" si="17"/>
        <v/>
      </c>
      <c r="AP57" s="6">
        <v>2.0</v>
      </c>
      <c r="AQ57" s="7" t="str">
        <f t="shared" si="18"/>
        <v/>
      </c>
      <c r="AR57" s="6">
        <v>2.0</v>
      </c>
      <c r="AS57" s="7" t="str">
        <f t="shared" si="19"/>
        <v/>
      </c>
      <c r="AT57" s="6">
        <v>2.0</v>
      </c>
      <c r="AU57" s="7" t="str">
        <f t="shared" si="20"/>
        <v/>
      </c>
      <c r="AV57" s="6">
        <v>2.0</v>
      </c>
      <c r="AW57" s="7" t="str">
        <f t="shared" si="21"/>
        <v/>
      </c>
    </row>
    <row r="58" ht="18.0" customHeight="1">
      <c r="A58" s="3">
        <v>56.0</v>
      </c>
      <c r="B58" s="3" t="s">
        <v>120</v>
      </c>
      <c r="C58" s="3" t="s">
        <v>66</v>
      </c>
      <c r="D58" s="1" t="s">
        <v>63</v>
      </c>
      <c r="E58" s="4" t="s">
        <v>73</v>
      </c>
      <c r="F58" s="4" t="s">
        <v>64</v>
      </c>
      <c r="G58" s="5"/>
      <c r="H58" s="6">
        <v>2.0</v>
      </c>
      <c r="I58" s="7" t="str">
        <f t="shared" si="1"/>
        <v/>
      </c>
      <c r="J58" s="6">
        <v>2.0</v>
      </c>
      <c r="K58" s="7" t="str">
        <f t="shared" si="2"/>
        <v/>
      </c>
      <c r="L58" s="6">
        <v>2.0</v>
      </c>
      <c r="M58" s="7" t="str">
        <f t="shared" si="3"/>
        <v/>
      </c>
      <c r="N58" s="6" t="s">
        <v>36</v>
      </c>
      <c r="O58" s="7" t="str">
        <f t="shared" si="4"/>
        <v/>
      </c>
      <c r="P58" s="6" t="s">
        <v>36</v>
      </c>
      <c r="Q58" s="7" t="str">
        <f t="shared" si="5"/>
        <v/>
      </c>
      <c r="R58" s="6">
        <v>2.0</v>
      </c>
      <c r="S58" s="7" t="str">
        <f t="shared" si="6"/>
        <v/>
      </c>
      <c r="T58" s="6">
        <v>2.0</v>
      </c>
      <c r="U58" s="7" t="str">
        <f t="shared" si="7"/>
        <v/>
      </c>
      <c r="V58" s="6">
        <v>2.0</v>
      </c>
      <c r="W58" s="7" t="str">
        <f t="shared" si="8"/>
        <v/>
      </c>
      <c r="X58" s="6">
        <v>2.0</v>
      </c>
      <c r="Y58" s="7" t="str">
        <f t="shared" si="9"/>
        <v/>
      </c>
      <c r="Z58" s="6">
        <v>2.0</v>
      </c>
      <c r="AA58" s="7" t="str">
        <f t="shared" si="10"/>
        <v/>
      </c>
      <c r="AB58" s="6">
        <v>2.0</v>
      </c>
      <c r="AC58" s="7" t="str">
        <f t="shared" si="11"/>
        <v/>
      </c>
      <c r="AD58" s="6">
        <v>2.0</v>
      </c>
      <c r="AE58" s="7" t="str">
        <f t="shared" si="12"/>
        <v/>
      </c>
      <c r="AF58" s="6">
        <v>2.0</v>
      </c>
      <c r="AG58" s="7" t="str">
        <f t="shared" si="13"/>
        <v/>
      </c>
      <c r="AH58" s="6">
        <v>2.0</v>
      </c>
      <c r="AI58" s="7" t="str">
        <f t="shared" si="14"/>
        <v/>
      </c>
      <c r="AJ58" s="6">
        <v>2.0</v>
      </c>
      <c r="AK58" s="7" t="str">
        <f t="shared" si="15"/>
        <v/>
      </c>
      <c r="AL58" s="6">
        <v>2.0</v>
      </c>
      <c r="AM58" s="7" t="str">
        <f t="shared" si="16"/>
        <v/>
      </c>
      <c r="AN58" s="6">
        <v>2.0</v>
      </c>
      <c r="AO58" s="7" t="str">
        <f t="shared" si="17"/>
        <v/>
      </c>
      <c r="AP58" s="6">
        <v>2.0</v>
      </c>
      <c r="AQ58" s="7" t="str">
        <f t="shared" si="18"/>
        <v/>
      </c>
      <c r="AR58" s="6">
        <v>2.0</v>
      </c>
      <c r="AS58" s="7" t="str">
        <f t="shared" si="19"/>
        <v/>
      </c>
      <c r="AT58" s="6">
        <v>2.0</v>
      </c>
      <c r="AU58" s="7" t="str">
        <f t="shared" si="20"/>
        <v/>
      </c>
      <c r="AV58" s="6">
        <v>2.0</v>
      </c>
      <c r="AW58" s="7" t="str">
        <f t="shared" si="21"/>
        <v/>
      </c>
    </row>
    <row r="59" ht="18.0" customHeight="1">
      <c r="A59" s="3">
        <v>57.0</v>
      </c>
      <c r="B59" s="3" t="s">
        <v>121</v>
      </c>
      <c r="C59" s="3" t="s">
        <v>71</v>
      </c>
      <c r="D59" s="1" t="s">
        <v>67</v>
      </c>
      <c r="E59" s="4" t="s">
        <v>69</v>
      </c>
      <c r="F59" s="4" t="s">
        <v>74</v>
      </c>
      <c r="G59" s="5"/>
      <c r="H59" s="6">
        <v>1.0</v>
      </c>
      <c r="I59" s="7" t="str">
        <f t="shared" si="1"/>
        <v/>
      </c>
      <c r="J59" s="6">
        <v>2.0</v>
      </c>
      <c r="K59" s="7" t="str">
        <f t="shared" si="2"/>
        <v/>
      </c>
      <c r="L59" s="6" t="s">
        <v>36</v>
      </c>
      <c r="M59" s="7" t="str">
        <f t="shared" si="3"/>
        <v/>
      </c>
      <c r="N59" s="6">
        <v>1.0</v>
      </c>
      <c r="O59" s="7" t="str">
        <f t="shared" si="4"/>
        <v/>
      </c>
      <c r="P59" s="6" t="s">
        <v>36</v>
      </c>
      <c r="Q59" s="7" t="str">
        <f t="shared" si="5"/>
        <v/>
      </c>
      <c r="R59" s="6" t="s">
        <v>36</v>
      </c>
      <c r="S59" s="7" t="str">
        <f t="shared" si="6"/>
        <v/>
      </c>
      <c r="T59" s="6" t="s">
        <v>36</v>
      </c>
      <c r="U59" s="7" t="str">
        <f t="shared" si="7"/>
        <v/>
      </c>
      <c r="V59" s="6" t="s">
        <v>36</v>
      </c>
      <c r="W59" s="7" t="str">
        <f t="shared" si="8"/>
        <v/>
      </c>
      <c r="X59" s="6">
        <v>1.0</v>
      </c>
      <c r="Y59" s="7" t="str">
        <f t="shared" si="9"/>
        <v/>
      </c>
      <c r="Z59" s="6">
        <v>2.0</v>
      </c>
      <c r="AA59" s="7" t="str">
        <f t="shared" si="10"/>
        <v/>
      </c>
      <c r="AB59" s="6" t="s">
        <v>36</v>
      </c>
      <c r="AC59" s="7" t="str">
        <f t="shared" si="11"/>
        <v/>
      </c>
      <c r="AD59" s="6" t="s">
        <v>36</v>
      </c>
      <c r="AE59" s="7" t="str">
        <f t="shared" si="12"/>
        <v/>
      </c>
      <c r="AF59" s="6">
        <v>1.0</v>
      </c>
      <c r="AG59" s="7" t="str">
        <f t="shared" si="13"/>
        <v/>
      </c>
      <c r="AH59" s="6">
        <v>1.0</v>
      </c>
      <c r="AI59" s="7" t="str">
        <f t="shared" si="14"/>
        <v/>
      </c>
      <c r="AJ59" s="6" t="s">
        <v>36</v>
      </c>
      <c r="AK59" s="7" t="str">
        <f t="shared" si="15"/>
        <v/>
      </c>
      <c r="AL59" s="6">
        <v>1.0</v>
      </c>
      <c r="AM59" s="7" t="str">
        <f t="shared" si="16"/>
        <v/>
      </c>
      <c r="AN59" s="6">
        <v>2.0</v>
      </c>
      <c r="AO59" s="7" t="str">
        <f t="shared" si="17"/>
        <v/>
      </c>
      <c r="AP59" s="6">
        <v>1.0</v>
      </c>
      <c r="AQ59" s="7" t="str">
        <f t="shared" si="18"/>
        <v/>
      </c>
      <c r="AR59" s="6">
        <v>2.0</v>
      </c>
      <c r="AS59" s="7" t="str">
        <f t="shared" si="19"/>
        <v/>
      </c>
      <c r="AT59" s="6">
        <v>1.0</v>
      </c>
      <c r="AU59" s="7" t="str">
        <f t="shared" si="20"/>
        <v/>
      </c>
      <c r="AV59" s="6">
        <v>2.0</v>
      </c>
      <c r="AW59" s="7" t="str">
        <f t="shared" si="21"/>
        <v/>
      </c>
    </row>
    <row r="60" ht="18.0" customHeight="1">
      <c r="A60" s="3">
        <v>58.0</v>
      </c>
      <c r="B60" s="3" t="s">
        <v>121</v>
      </c>
      <c r="C60" s="3" t="s">
        <v>71</v>
      </c>
      <c r="D60" s="1" t="s">
        <v>67</v>
      </c>
      <c r="E60" s="4" t="s">
        <v>75</v>
      </c>
      <c r="F60" s="4" t="s">
        <v>68</v>
      </c>
      <c r="G60" s="5"/>
      <c r="H60" s="6">
        <v>2.0</v>
      </c>
      <c r="I60" s="7" t="str">
        <f t="shared" si="1"/>
        <v/>
      </c>
      <c r="J60" s="6">
        <v>2.0</v>
      </c>
      <c r="K60" s="7" t="str">
        <f t="shared" si="2"/>
        <v/>
      </c>
      <c r="L60" s="6" t="s">
        <v>36</v>
      </c>
      <c r="M60" s="7" t="str">
        <f t="shared" si="3"/>
        <v/>
      </c>
      <c r="N60" s="6">
        <v>1.0</v>
      </c>
      <c r="O60" s="7" t="str">
        <f t="shared" si="4"/>
        <v/>
      </c>
      <c r="P60" s="6">
        <v>2.0</v>
      </c>
      <c r="Q60" s="7" t="str">
        <f t="shared" si="5"/>
        <v/>
      </c>
      <c r="R60" s="6">
        <v>2.0</v>
      </c>
      <c r="S60" s="7" t="str">
        <f t="shared" si="6"/>
        <v/>
      </c>
      <c r="T60" s="6">
        <v>2.0</v>
      </c>
      <c r="U60" s="7" t="str">
        <f t="shared" si="7"/>
        <v/>
      </c>
      <c r="V60" s="6">
        <v>2.0</v>
      </c>
      <c r="W60" s="7" t="str">
        <f t="shared" si="8"/>
        <v/>
      </c>
      <c r="X60" s="6">
        <v>2.0</v>
      </c>
      <c r="Y60" s="7" t="str">
        <f t="shared" si="9"/>
        <v/>
      </c>
      <c r="Z60" s="6">
        <v>2.0</v>
      </c>
      <c r="AA60" s="7" t="str">
        <f t="shared" si="10"/>
        <v/>
      </c>
      <c r="AB60" s="6">
        <v>2.0</v>
      </c>
      <c r="AC60" s="7" t="str">
        <f t="shared" si="11"/>
        <v/>
      </c>
      <c r="AD60" s="6">
        <v>2.0</v>
      </c>
      <c r="AE60" s="7" t="str">
        <f t="shared" si="12"/>
        <v/>
      </c>
      <c r="AF60" s="6">
        <v>2.0</v>
      </c>
      <c r="AG60" s="7" t="str">
        <f t="shared" si="13"/>
        <v/>
      </c>
      <c r="AH60" s="6" t="s">
        <v>36</v>
      </c>
      <c r="AI60" s="7" t="str">
        <f t="shared" si="14"/>
        <v/>
      </c>
      <c r="AJ60" s="6">
        <v>2.0</v>
      </c>
      <c r="AK60" s="7" t="str">
        <f t="shared" si="15"/>
        <v/>
      </c>
      <c r="AL60" s="6">
        <v>2.0</v>
      </c>
      <c r="AM60" s="7" t="str">
        <f t="shared" si="16"/>
        <v/>
      </c>
      <c r="AN60" s="6">
        <v>2.0</v>
      </c>
      <c r="AO60" s="7" t="str">
        <f t="shared" si="17"/>
        <v/>
      </c>
      <c r="AP60" s="6">
        <v>2.0</v>
      </c>
      <c r="AQ60" s="7" t="str">
        <f t="shared" si="18"/>
        <v/>
      </c>
      <c r="AR60" s="6">
        <v>2.0</v>
      </c>
      <c r="AS60" s="7" t="str">
        <f t="shared" si="19"/>
        <v/>
      </c>
      <c r="AT60" s="6">
        <v>2.0</v>
      </c>
      <c r="AU60" s="7" t="str">
        <f t="shared" si="20"/>
        <v/>
      </c>
      <c r="AV60" s="6">
        <v>2.0</v>
      </c>
      <c r="AW60" s="7" t="str">
        <f t="shared" si="21"/>
        <v/>
      </c>
    </row>
    <row r="61" ht="18.0" customHeight="1">
      <c r="A61" s="3">
        <v>59.0</v>
      </c>
      <c r="B61" s="3" t="s">
        <v>121</v>
      </c>
      <c r="C61" s="3" t="s">
        <v>38</v>
      </c>
      <c r="D61" s="1" t="s">
        <v>46</v>
      </c>
      <c r="E61" s="4" t="s">
        <v>61</v>
      </c>
      <c r="F61" s="4" t="s">
        <v>47</v>
      </c>
      <c r="G61" s="5"/>
      <c r="H61" s="6">
        <v>1.0</v>
      </c>
      <c r="I61" s="7" t="str">
        <f t="shared" si="1"/>
        <v/>
      </c>
      <c r="J61" s="6">
        <v>1.0</v>
      </c>
      <c r="K61" s="7" t="str">
        <f t="shared" si="2"/>
        <v/>
      </c>
      <c r="L61" s="6">
        <v>2.0</v>
      </c>
      <c r="M61" s="7" t="str">
        <f t="shared" si="3"/>
        <v/>
      </c>
      <c r="N61" s="6">
        <v>2.0</v>
      </c>
      <c r="O61" s="7" t="str">
        <f t="shared" si="4"/>
        <v/>
      </c>
      <c r="P61" s="6">
        <v>1.0</v>
      </c>
      <c r="Q61" s="7" t="str">
        <f t="shared" si="5"/>
        <v/>
      </c>
      <c r="R61" s="6" t="s">
        <v>36</v>
      </c>
      <c r="S61" s="7" t="str">
        <f t="shared" si="6"/>
        <v/>
      </c>
      <c r="T61" s="6">
        <v>1.0</v>
      </c>
      <c r="U61" s="7" t="str">
        <f t="shared" si="7"/>
        <v/>
      </c>
      <c r="V61" s="6">
        <v>1.0</v>
      </c>
      <c r="W61" s="7" t="str">
        <f t="shared" si="8"/>
        <v/>
      </c>
      <c r="X61" s="6">
        <v>1.0</v>
      </c>
      <c r="Y61" s="7" t="str">
        <f t="shared" si="9"/>
        <v/>
      </c>
      <c r="Z61" s="6">
        <v>2.0</v>
      </c>
      <c r="AA61" s="7" t="str">
        <f t="shared" si="10"/>
        <v/>
      </c>
      <c r="AB61" s="6">
        <v>1.0</v>
      </c>
      <c r="AC61" s="7" t="str">
        <f t="shared" si="11"/>
        <v/>
      </c>
      <c r="AD61" s="6">
        <v>2.0</v>
      </c>
      <c r="AE61" s="7" t="str">
        <f t="shared" si="12"/>
        <v/>
      </c>
      <c r="AF61" s="6">
        <v>1.0</v>
      </c>
      <c r="AG61" s="7" t="str">
        <f t="shared" si="13"/>
        <v/>
      </c>
      <c r="AH61" s="6">
        <v>1.0</v>
      </c>
      <c r="AI61" s="7" t="str">
        <f t="shared" si="14"/>
        <v/>
      </c>
      <c r="AJ61" s="6">
        <v>2.0</v>
      </c>
      <c r="AK61" s="7" t="str">
        <f t="shared" si="15"/>
        <v/>
      </c>
      <c r="AL61" s="6">
        <v>1.0</v>
      </c>
      <c r="AM61" s="7" t="str">
        <f t="shared" si="16"/>
        <v/>
      </c>
      <c r="AN61" s="6">
        <v>1.0</v>
      </c>
      <c r="AO61" s="7" t="str">
        <f t="shared" si="17"/>
        <v/>
      </c>
      <c r="AP61" s="6">
        <v>2.0</v>
      </c>
      <c r="AQ61" s="7" t="str">
        <f t="shared" si="18"/>
        <v/>
      </c>
      <c r="AR61" s="6">
        <v>2.0</v>
      </c>
      <c r="AS61" s="7" t="str">
        <f t="shared" si="19"/>
        <v/>
      </c>
      <c r="AT61" s="6" t="s">
        <v>36</v>
      </c>
      <c r="AU61" s="7" t="str">
        <f t="shared" si="20"/>
        <v/>
      </c>
      <c r="AV61" s="6">
        <v>1.0</v>
      </c>
      <c r="AW61" s="7" t="str">
        <f t="shared" si="21"/>
        <v/>
      </c>
    </row>
    <row r="62" ht="18.0" customHeight="1">
      <c r="A62" s="3">
        <v>60.0</v>
      </c>
      <c r="B62" s="3" t="s">
        <v>121</v>
      </c>
      <c r="C62" s="3" t="s">
        <v>38</v>
      </c>
      <c r="D62" s="1" t="s">
        <v>46</v>
      </c>
      <c r="E62" s="4" t="s">
        <v>48</v>
      </c>
      <c r="F62" s="4" t="s">
        <v>60</v>
      </c>
      <c r="G62" s="5"/>
      <c r="H62" s="6" t="s">
        <v>36</v>
      </c>
      <c r="I62" s="7" t="str">
        <f t="shared" si="1"/>
        <v/>
      </c>
      <c r="J62" s="6" t="s">
        <v>36</v>
      </c>
      <c r="K62" s="7" t="str">
        <f t="shared" si="2"/>
        <v/>
      </c>
      <c r="L62" s="6">
        <v>2.0</v>
      </c>
      <c r="M62" s="7" t="str">
        <f t="shared" si="3"/>
        <v/>
      </c>
      <c r="N62" s="6" t="s">
        <v>36</v>
      </c>
      <c r="O62" s="7" t="str">
        <f t="shared" si="4"/>
        <v/>
      </c>
      <c r="P62" s="6">
        <v>1.0</v>
      </c>
      <c r="Q62" s="7" t="str">
        <f t="shared" si="5"/>
        <v/>
      </c>
      <c r="R62" s="6" t="s">
        <v>36</v>
      </c>
      <c r="S62" s="7" t="str">
        <f t="shared" si="6"/>
        <v/>
      </c>
      <c r="T62" s="6">
        <v>1.0</v>
      </c>
      <c r="U62" s="7" t="str">
        <f t="shared" si="7"/>
        <v/>
      </c>
      <c r="V62" s="6" t="s">
        <v>36</v>
      </c>
      <c r="W62" s="7" t="str">
        <f t="shared" si="8"/>
        <v/>
      </c>
      <c r="X62" s="6">
        <v>1.0</v>
      </c>
      <c r="Y62" s="7" t="str">
        <f t="shared" si="9"/>
        <v/>
      </c>
      <c r="Z62" s="6">
        <v>1.0</v>
      </c>
      <c r="AA62" s="7" t="str">
        <f t="shared" si="10"/>
        <v/>
      </c>
      <c r="AB62" s="6" t="s">
        <v>36</v>
      </c>
      <c r="AC62" s="7" t="str">
        <f t="shared" si="11"/>
        <v/>
      </c>
      <c r="AD62" s="6" t="s">
        <v>36</v>
      </c>
      <c r="AE62" s="7" t="str">
        <f t="shared" si="12"/>
        <v/>
      </c>
      <c r="AF62" s="6" t="s">
        <v>49</v>
      </c>
      <c r="AG62" s="7" t="str">
        <f t="shared" si="13"/>
        <v/>
      </c>
      <c r="AH62" s="6">
        <v>1.0</v>
      </c>
      <c r="AI62" s="7" t="str">
        <f t="shared" si="14"/>
        <v/>
      </c>
      <c r="AJ62" s="6">
        <v>1.0</v>
      </c>
      <c r="AK62" s="7" t="str">
        <f t="shared" si="15"/>
        <v/>
      </c>
      <c r="AL62" s="6">
        <v>1.0</v>
      </c>
      <c r="AM62" s="7" t="str">
        <f t="shared" si="16"/>
        <v/>
      </c>
      <c r="AN62" s="6">
        <v>1.0</v>
      </c>
      <c r="AO62" s="7" t="str">
        <f t="shared" si="17"/>
        <v/>
      </c>
      <c r="AP62" s="6">
        <v>1.0</v>
      </c>
      <c r="AQ62" s="7" t="str">
        <f t="shared" si="18"/>
        <v/>
      </c>
      <c r="AR62" s="6">
        <v>2.0</v>
      </c>
      <c r="AS62" s="7" t="str">
        <f t="shared" si="19"/>
        <v/>
      </c>
      <c r="AT62" s="6" t="s">
        <v>36</v>
      </c>
      <c r="AU62" s="7" t="str">
        <f t="shared" si="20"/>
        <v/>
      </c>
      <c r="AV62" s="6">
        <v>1.0</v>
      </c>
      <c r="AW62" s="7" t="str">
        <f t="shared" si="21"/>
        <v/>
      </c>
    </row>
    <row r="63" ht="18.0" customHeight="1">
      <c r="A63" s="3">
        <v>61.0</v>
      </c>
      <c r="B63" s="3" t="s">
        <v>121</v>
      </c>
      <c r="C63" s="3" t="s">
        <v>62</v>
      </c>
      <c r="D63" s="1" t="s">
        <v>77</v>
      </c>
      <c r="E63" s="4" t="s">
        <v>79</v>
      </c>
      <c r="F63" s="4" t="s">
        <v>84</v>
      </c>
      <c r="G63" s="5"/>
      <c r="H63" s="6">
        <v>2.0</v>
      </c>
      <c r="I63" s="7" t="str">
        <f t="shared" si="1"/>
        <v/>
      </c>
      <c r="J63" s="6">
        <v>2.0</v>
      </c>
      <c r="K63" s="7" t="str">
        <f t="shared" si="2"/>
        <v/>
      </c>
      <c r="L63" s="6">
        <v>1.0</v>
      </c>
      <c r="M63" s="7" t="str">
        <f t="shared" si="3"/>
        <v/>
      </c>
      <c r="N63" s="6" t="s">
        <v>36</v>
      </c>
      <c r="O63" s="7" t="str">
        <f t="shared" si="4"/>
        <v/>
      </c>
      <c r="P63" s="6">
        <v>1.0</v>
      </c>
      <c r="Q63" s="7" t="str">
        <f t="shared" si="5"/>
        <v/>
      </c>
      <c r="R63" s="6" t="s">
        <v>36</v>
      </c>
      <c r="S63" s="7" t="str">
        <f t="shared" si="6"/>
        <v/>
      </c>
      <c r="T63" s="6" t="s">
        <v>36</v>
      </c>
      <c r="U63" s="7" t="str">
        <f t="shared" si="7"/>
        <v/>
      </c>
      <c r="V63" s="6">
        <v>2.0</v>
      </c>
      <c r="W63" s="7" t="str">
        <f t="shared" si="8"/>
        <v/>
      </c>
      <c r="X63" s="6">
        <v>2.0</v>
      </c>
      <c r="Y63" s="7" t="str">
        <f t="shared" si="9"/>
        <v/>
      </c>
      <c r="Z63" s="6">
        <v>2.0</v>
      </c>
      <c r="AA63" s="7" t="str">
        <f t="shared" si="10"/>
        <v/>
      </c>
      <c r="AB63" s="6">
        <v>2.0</v>
      </c>
      <c r="AC63" s="7" t="str">
        <f t="shared" si="11"/>
        <v/>
      </c>
      <c r="AD63" s="6">
        <v>1.0</v>
      </c>
      <c r="AE63" s="7" t="str">
        <f t="shared" si="12"/>
        <v/>
      </c>
      <c r="AF63" s="6">
        <v>1.0</v>
      </c>
      <c r="AG63" s="7" t="str">
        <f t="shared" si="13"/>
        <v/>
      </c>
      <c r="AH63" s="6" t="s">
        <v>36</v>
      </c>
      <c r="AI63" s="7" t="str">
        <f t="shared" si="14"/>
        <v/>
      </c>
      <c r="AJ63" s="6">
        <v>2.0</v>
      </c>
      <c r="AK63" s="7" t="str">
        <f t="shared" si="15"/>
        <v/>
      </c>
      <c r="AL63" s="6">
        <v>2.0</v>
      </c>
      <c r="AM63" s="7" t="str">
        <f t="shared" si="16"/>
        <v/>
      </c>
      <c r="AN63" s="6">
        <v>2.0</v>
      </c>
      <c r="AO63" s="7" t="str">
        <f t="shared" si="17"/>
        <v/>
      </c>
      <c r="AP63" s="6">
        <v>2.0</v>
      </c>
      <c r="AQ63" s="7" t="str">
        <f t="shared" si="18"/>
        <v/>
      </c>
      <c r="AR63" s="6">
        <v>1.0</v>
      </c>
      <c r="AS63" s="7" t="str">
        <f t="shared" si="19"/>
        <v/>
      </c>
      <c r="AT63" s="6">
        <v>2.0</v>
      </c>
      <c r="AU63" s="7" t="str">
        <f t="shared" si="20"/>
        <v/>
      </c>
      <c r="AV63" s="6">
        <v>2.0</v>
      </c>
      <c r="AW63" s="7" t="str">
        <f t="shared" si="21"/>
        <v/>
      </c>
    </row>
    <row r="64" ht="18.0" customHeight="1">
      <c r="A64" s="3">
        <v>62.0</v>
      </c>
      <c r="B64" s="3" t="s">
        <v>121</v>
      </c>
      <c r="C64" s="3" t="s">
        <v>62</v>
      </c>
      <c r="D64" s="1" t="s">
        <v>77</v>
      </c>
      <c r="E64" s="4" t="s">
        <v>85</v>
      </c>
      <c r="F64" s="4" t="s">
        <v>78</v>
      </c>
      <c r="G64" s="5"/>
      <c r="H64" s="6">
        <v>2.0</v>
      </c>
      <c r="I64" s="7" t="str">
        <f t="shared" si="1"/>
        <v/>
      </c>
      <c r="J64" s="6">
        <v>2.0</v>
      </c>
      <c r="K64" s="7" t="str">
        <f t="shared" si="2"/>
        <v/>
      </c>
      <c r="L64" s="6">
        <v>2.0</v>
      </c>
      <c r="M64" s="7" t="str">
        <f t="shared" si="3"/>
        <v/>
      </c>
      <c r="N64" s="6">
        <v>2.0</v>
      </c>
      <c r="O64" s="7" t="str">
        <f t="shared" si="4"/>
        <v/>
      </c>
      <c r="P64" s="6" t="s">
        <v>36</v>
      </c>
      <c r="Q64" s="7" t="str">
        <f t="shared" si="5"/>
        <v/>
      </c>
      <c r="R64" s="6">
        <v>2.0</v>
      </c>
      <c r="S64" s="7" t="str">
        <f t="shared" si="6"/>
        <v/>
      </c>
      <c r="T64" s="6">
        <v>2.0</v>
      </c>
      <c r="U64" s="7" t="str">
        <f t="shared" si="7"/>
        <v/>
      </c>
      <c r="V64" s="6">
        <v>2.0</v>
      </c>
      <c r="W64" s="7" t="str">
        <f t="shared" si="8"/>
        <v/>
      </c>
      <c r="X64" s="6">
        <v>2.0</v>
      </c>
      <c r="Y64" s="7" t="str">
        <f t="shared" si="9"/>
        <v/>
      </c>
      <c r="Z64" s="6">
        <v>2.0</v>
      </c>
      <c r="AA64" s="7" t="str">
        <f t="shared" si="10"/>
        <v/>
      </c>
      <c r="AB64" s="6" t="s">
        <v>36</v>
      </c>
      <c r="AC64" s="7" t="str">
        <f t="shared" si="11"/>
        <v/>
      </c>
      <c r="AD64" s="6">
        <v>2.0</v>
      </c>
      <c r="AE64" s="7" t="str">
        <f t="shared" si="12"/>
        <v/>
      </c>
      <c r="AF64" s="6">
        <v>2.0</v>
      </c>
      <c r="AG64" s="7" t="str">
        <f t="shared" si="13"/>
        <v/>
      </c>
      <c r="AH64" s="6">
        <v>2.0</v>
      </c>
      <c r="AI64" s="7" t="str">
        <f t="shared" si="14"/>
        <v/>
      </c>
      <c r="AJ64" s="6" t="s">
        <v>36</v>
      </c>
      <c r="AK64" s="7" t="str">
        <f t="shared" si="15"/>
        <v/>
      </c>
      <c r="AL64" s="6" t="s">
        <v>36</v>
      </c>
      <c r="AM64" s="7" t="str">
        <f t="shared" si="16"/>
        <v/>
      </c>
      <c r="AN64" s="6">
        <v>2.0</v>
      </c>
      <c r="AO64" s="7" t="str">
        <f t="shared" si="17"/>
        <v/>
      </c>
      <c r="AP64" s="6">
        <v>2.0</v>
      </c>
      <c r="AQ64" s="7" t="str">
        <f t="shared" si="18"/>
        <v/>
      </c>
      <c r="AR64" s="6">
        <v>2.0</v>
      </c>
      <c r="AS64" s="7" t="str">
        <f t="shared" si="19"/>
        <v/>
      </c>
      <c r="AT64" s="6">
        <v>2.0</v>
      </c>
      <c r="AU64" s="7" t="str">
        <f t="shared" si="20"/>
        <v/>
      </c>
      <c r="AV64" s="6">
        <v>2.0</v>
      </c>
      <c r="AW64" s="7" t="str">
        <f t="shared" si="21"/>
        <v/>
      </c>
    </row>
    <row r="65" ht="18.0" customHeight="1">
      <c r="A65" s="3">
        <v>63.0</v>
      </c>
      <c r="B65" s="3" t="s">
        <v>122</v>
      </c>
      <c r="C65" s="3" t="s">
        <v>53</v>
      </c>
      <c r="D65" s="1" t="s">
        <v>80</v>
      </c>
      <c r="E65" s="4" t="s">
        <v>82</v>
      </c>
      <c r="F65" s="4" t="s">
        <v>86</v>
      </c>
      <c r="G65" s="5"/>
      <c r="H65" s="6">
        <v>1.0</v>
      </c>
      <c r="I65" s="7" t="str">
        <f t="shared" si="1"/>
        <v/>
      </c>
      <c r="J65" s="6">
        <v>1.0</v>
      </c>
      <c r="K65" s="7" t="str">
        <f t="shared" si="2"/>
        <v/>
      </c>
      <c r="L65" s="6" t="s">
        <v>36</v>
      </c>
      <c r="M65" s="7" t="str">
        <f t="shared" si="3"/>
        <v/>
      </c>
      <c r="N65" s="6">
        <v>1.0</v>
      </c>
      <c r="O65" s="7" t="str">
        <f t="shared" si="4"/>
        <v/>
      </c>
      <c r="P65" s="6">
        <v>1.0</v>
      </c>
      <c r="Q65" s="7" t="str">
        <f t="shared" si="5"/>
        <v/>
      </c>
      <c r="R65" s="6">
        <v>1.0</v>
      </c>
      <c r="S65" s="7" t="str">
        <f t="shared" si="6"/>
        <v/>
      </c>
      <c r="T65" s="6">
        <v>1.0</v>
      </c>
      <c r="U65" s="7" t="str">
        <f t="shared" si="7"/>
        <v/>
      </c>
      <c r="V65" s="6">
        <v>2.0</v>
      </c>
      <c r="W65" s="7" t="str">
        <f t="shared" si="8"/>
        <v/>
      </c>
      <c r="X65" s="6" t="s">
        <v>36</v>
      </c>
      <c r="Y65" s="7" t="str">
        <f t="shared" si="9"/>
        <v/>
      </c>
      <c r="Z65" s="6" t="s">
        <v>36</v>
      </c>
      <c r="AA65" s="7" t="str">
        <f t="shared" si="10"/>
        <v/>
      </c>
      <c r="AB65" s="6" t="s">
        <v>36</v>
      </c>
      <c r="AC65" s="7" t="str">
        <f t="shared" si="11"/>
        <v/>
      </c>
      <c r="AD65" s="6" t="s">
        <v>36</v>
      </c>
      <c r="AE65" s="7" t="str">
        <f t="shared" si="12"/>
        <v/>
      </c>
      <c r="AF65" s="6">
        <v>1.0</v>
      </c>
      <c r="AG65" s="7" t="str">
        <f t="shared" si="13"/>
        <v/>
      </c>
      <c r="AH65" s="6" t="s">
        <v>36</v>
      </c>
      <c r="AI65" s="7" t="str">
        <f t="shared" si="14"/>
        <v/>
      </c>
      <c r="AJ65" s="6">
        <v>1.0</v>
      </c>
      <c r="AK65" s="7" t="str">
        <f t="shared" si="15"/>
        <v/>
      </c>
      <c r="AL65" s="6">
        <v>1.0</v>
      </c>
      <c r="AM65" s="7" t="str">
        <f t="shared" si="16"/>
        <v/>
      </c>
      <c r="AN65" s="6">
        <v>1.0</v>
      </c>
      <c r="AO65" s="7" t="str">
        <f t="shared" si="17"/>
        <v/>
      </c>
      <c r="AP65" s="6">
        <v>2.0</v>
      </c>
      <c r="AQ65" s="7" t="str">
        <f t="shared" si="18"/>
        <v/>
      </c>
      <c r="AR65" s="6">
        <v>1.0</v>
      </c>
      <c r="AS65" s="7" t="str">
        <f t="shared" si="19"/>
        <v/>
      </c>
      <c r="AT65" s="6">
        <v>1.0</v>
      </c>
      <c r="AU65" s="7" t="str">
        <f t="shared" si="20"/>
        <v/>
      </c>
      <c r="AV65" s="6" t="s">
        <v>36</v>
      </c>
      <c r="AW65" s="7" t="str">
        <f t="shared" si="21"/>
        <v/>
      </c>
    </row>
    <row r="66" ht="18.0" customHeight="1">
      <c r="A66" s="3">
        <v>64.0</v>
      </c>
      <c r="B66" s="3" t="s">
        <v>122</v>
      </c>
      <c r="C66" s="3" t="s">
        <v>53</v>
      </c>
      <c r="D66" s="1" t="s">
        <v>80</v>
      </c>
      <c r="E66" s="4" t="s">
        <v>87</v>
      </c>
      <c r="F66" s="4" t="s">
        <v>81</v>
      </c>
      <c r="G66" s="5"/>
      <c r="H66" s="6">
        <v>2.0</v>
      </c>
      <c r="I66" s="7" t="str">
        <f t="shared" si="1"/>
        <v/>
      </c>
      <c r="J66" s="6">
        <v>2.0</v>
      </c>
      <c r="K66" s="7" t="str">
        <f t="shared" si="2"/>
        <v/>
      </c>
      <c r="L66" s="6">
        <v>1.0</v>
      </c>
      <c r="M66" s="7" t="str">
        <f t="shared" si="3"/>
        <v/>
      </c>
      <c r="N66" s="6">
        <v>2.0</v>
      </c>
      <c r="O66" s="7" t="str">
        <f t="shared" si="4"/>
        <v/>
      </c>
      <c r="P66" s="6" t="s">
        <v>36</v>
      </c>
      <c r="Q66" s="7" t="str">
        <f t="shared" si="5"/>
        <v/>
      </c>
      <c r="R66" s="6">
        <v>2.0</v>
      </c>
      <c r="S66" s="7" t="str">
        <f t="shared" si="6"/>
        <v/>
      </c>
      <c r="T66" s="6">
        <v>2.0</v>
      </c>
      <c r="U66" s="7" t="str">
        <f t="shared" si="7"/>
        <v/>
      </c>
      <c r="V66" s="6">
        <v>2.0</v>
      </c>
      <c r="W66" s="7" t="str">
        <f t="shared" si="8"/>
        <v/>
      </c>
      <c r="X66" s="6">
        <v>2.0</v>
      </c>
      <c r="Y66" s="7" t="str">
        <f t="shared" si="9"/>
        <v/>
      </c>
      <c r="Z66" s="6" t="s">
        <v>36</v>
      </c>
      <c r="AA66" s="7" t="str">
        <f t="shared" si="10"/>
        <v/>
      </c>
      <c r="AB66" s="6">
        <v>2.0</v>
      </c>
      <c r="AC66" s="7" t="str">
        <f t="shared" si="11"/>
        <v/>
      </c>
      <c r="AD66" s="6" t="s">
        <v>36</v>
      </c>
      <c r="AE66" s="7" t="str">
        <f t="shared" si="12"/>
        <v/>
      </c>
      <c r="AF66" s="6">
        <v>2.0</v>
      </c>
      <c r="AG66" s="7" t="str">
        <f t="shared" si="13"/>
        <v/>
      </c>
      <c r="AH66" s="6">
        <v>2.0</v>
      </c>
      <c r="AI66" s="7" t="str">
        <f t="shared" si="14"/>
        <v/>
      </c>
      <c r="AJ66" s="6">
        <v>2.0</v>
      </c>
      <c r="AK66" s="7" t="str">
        <f t="shared" si="15"/>
        <v/>
      </c>
      <c r="AL66" s="6">
        <v>2.0</v>
      </c>
      <c r="AM66" s="7" t="str">
        <f t="shared" si="16"/>
        <v/>
      </c>
      <c r="AN66" s="6">
        <v>2.0</v>
      </c>
      <c r="AO66" s="7" t="str">
        <f t="shared" si="17"/>
        <v/>
      </c>
      <c r="AP66" s="6">
        <v>2.0</v>
      </c>
      <c r="AQ66" s="7" t="str">
        <f t="shared" si="18"/>
        <v/>
      </c>
      <c r="AR66" s="6">
        <v>1.0</v>
      </c>
      <c r="AS66" s="7" t="str">
        <f t="shared" si="19"/>
        <v/>
      </c>
      <c r="AT66" s="6">
        <v>2.0</v>
      </c>
      <c r="AU66" s="7" t="str">
        <f t="shared" si="20"/>
        <v/>
      </c>
      <c r="AV66" s="6">
        <v>2.0</v>
      </c>
      <c r="AW66" s="7" t="str">
        <f t="shared" si="21"/>
        <v/>
      </c>
    </row>
    <row r="67" ht="18.0" customHeight="1">
      <c r="A67" s="3">
        <v>65.0</v>
      </c>
      <c r="B67" s="3" t="s">
        <v>122</v>
      </c>
      <c r="C67" s="3" t="s">
        <v>45</v>
      </c>
      <c r="D67" s="1" t="s">
        <v>88</v>
      </c>
      <c r="E67" s="4" t="s">
        <v>90</v>
      </c>
      <c r="F67" s="4" t="s">
        <v>92</v>
      </c>
      <c r="G67" s="5"/>
      <c r="H67" s="6" t="s">
        <v>36</v>
      </c>
      <c r="I67" s="7" t="str">
        <f t="shared" si="1"/>
        <v/>
      </c>
      <c r="J67" s="6">
        <v>1.0</v>
      </c>
      <c r="K67" s="7" t="str">
        <f t="shared" si="2"/>
        <v/>
      </c>
      <c r="L67" s="6">
        <v>1.0</v>
      </c>
      <c r="M67" s="7" t="str">
        <f t="shared" si="3"/>
        <v/>
      </c>
      <c r="N67" s="6">
        <v>1.0</v>
      </c>
      <c r="O67" s="7" t="str">
        <f t="shared" si="4"/>
        <v/>
      </c>
      <c r="P67" s="6">
        <v>1.0</v>
      </c>
      <c r="Q67" s="7" t="str">
        <f t="shared" si="5"/>
        <v/>
      </c>
      <c r="R67" s="6">
        <v>1.0</v>
      </c>
      <c r="S67" s="7" t="str">
        <f t="shared" si="6"/>
        <v/>
      </c>
      <c r="T67" s="6">
        <v>1.0</v>
      </c>
      <c r="U67" s="7" t="str">
        <f t="shared" si="7"/>
        <v/>
      </c>
      <c r="V67" s="6">
        <v>1.0</v>
      </c>
      <c r="W67" s="7" t="str">
        <f t="shared" si="8"/>
        <v/>
      </c>
      <c r="X67" s="6">
        <v>1.0</v>
      </c>
      <c r="Y67" s="7" t="str">
        <f t="shared" si="9"/>
        <v/>
      </c>
      <c r="Z67" s="6">
        <v>1.0</v>
      </c>
      <c r="AA67" s="7" t="str">
        <f t="shared" si="10"/>
        <v/>
      </c>
      <c r="AB67" s="6" t="s">
        <v>36</v>
      </c>
      <c r="AC67" s="7" t="str">
        <f t="shared" si="11"/>
        <v/>
      </c>
      <c r="AD67" s="6" t="s">
        <v>36</v>
      </c>
      <c r="AE67" s="7" t="str">
        <f t="shared" si="12"/>
        <v/>
      </c>
      <c r="AF67" s="6">
        <v>1.0</v>
      </c>
      <c r="AG67" s="7" t="str">
        <f t="shared" si="13"/>
        <v/>
      </c>
      <c r="AH67" s="6">
        <v>1.0</v>
      </c>
      <c r="AI67" s="7" t="str">
        <f t="shared" si="14"/>
        <v/>
      </c>
      <c r="AJ67" s="6">
        <v>1.0</v>
      </c>
      <c r="AK67" s="7" t="str">
        <f t="shared" si="15"/>
        <v/>
      </c>
      <c r="AL67" s="6">
        <v>2.0</v>
      </c>
      <c r="AM67" s="7" t="str">
        <f t="shared" si="16"/>
        <v/>
      </c>
      <c r="AN67" s="6">
        <v>1.0</v>
      </c>
      <c r="AO67" s="7" t="str">
        <f t="shared" si="17"/>
        <v/>
      </c>
      <c r="AP67" s="6">
        <v>1.0</v>
      </c>
      <c r="AQ67" s="7" t="str">
        <f t="shared" si="18"/>
        <v/>
      </c>
      <c r="AR67" s="6">
        <v>1.0</v>
      </c>
      <c r="AS67" s="7" t="str">
        <f t="shared" si="19"/>
        <v/>
      </c>
      <c r="AT67" s="6">
        <v>1.0</v>
      </c>
      <c r="AU67" s="7" t="str">
        <f t="shared" si="20"/>
        <v/>
      </c>
      <c r="AV67" s="6">
        <v>1.0</v>
      </c>
      <c r="AW67" s="7" t="str">
        <f t="shared" si="21"/>
        <v/>
      </c>
    </row>
    <row r="68" ht="18.0" customHeight="1">
      <c r="A68" s="3">
        <v>66.0</v>
      </c>
      <c r="B68" s="3" t="s">
        <v>122</v>
      </c>
      <c r="C68" s="3" t="s">
        <v>45</v>
      </c>
      <c r="D68" s="1" t="s">
        <v>88</v>
      </c>
      <c r="E68" s="4" t="s">
        <v>93</v>
      </c>
      <c r="F68" s="4" t="s">
        <v>89</v>
      </c>
      <c r="G68" s="5"/>
      <c r="H68" s="6">
        <v>2.0</v>
      </c>
      <c r="I68" s="7" t="str">
        <f t="shared" si="1"/>
        <v/>
      </c>
      <c r="J68" s="6">
        <v>2.0</v>
      </c>
      <c r="K68" s="7" t="str">
        <f t="shared" si="2"/>
        <v/>
      </c>
      <c r="L68" s="6">
        <v>2.0</v>
      </c>
      <c r="M68" s="7" t="str">
        <f t="shared" si="3"/>
        <v/>
      </c>
      <c r="N68" s="6" t="s">
        <v>36</v>
      </c>
      <c r="O68" s="7" t="str">
        <f t="shared" si="4"/>
        <v/>
      </c>
      <c r="P68" s="6" t="s">
        <v>36</v>
      </c>
      <c r="Q68" s="7" t="str">
        <f t="shared" si="5"/>
        <v/>
      </c>
      <c r="R68" s="6">
        <v>2.0</v>
      </c>
      <c r="S68" s="7" t="str">
        <f t="shared" si="6"/>
        <v/>
      </c>
      <c r="T68" s="6" t="s">
        <v>36</v>
      </c>
      <c r="U68" s="7" t="str">
        <f t="shared" si="7"/>
        <v/>
      </c>
      <c r="V68" s="6" t="s">
        <v>36</v>
      </c>
      <c r="W68" s="7" t="str">
        <f t="shared" si="8"/>
        <v/>
      </c>
      <c r="X68" s="6">
        <v>1.0</v>
      </c>
      <c r="Y68" s="7" t="str">
        <f t="shared" si="9"/>
        <v/>
      </c>
      <c r="Z68" s="6">
        <v>2.0</v>
      </c>
      <c r="AA68" s="7" t="str">
        <f t="shared" si="10"/>
        <v/>
      </c>
      <c r="AB68" s="6">
        <v>2.0</v>
      </c>
      <c r="AC68" s="7" t="str">
        <f t="shared" si="11"/>
        <v/>
      </c>
      <c r="AD68" s="6" t="s">
        <v>36</v>
      </c>
      <c r="AE68" s="7" t="str">
        <f t="shared" si="12"/>
        <v/>
      </c>
      <c r="AF68" s="6" t="s">
        <v>49</v>
      </c>
      <c r="AG68" s="7" t="str">
        <f t="shared" si="13"/>
        <v/>
      </c>
      <c r="AH68" s="6" t="s">
        <v>36</v>
      </c>
      <c r="AI68" s="7" t="str">
        <f t="shared" si="14"/>
        <v/>
      </c>
      <c r="AJ68" s="6" t="s">
        <v>36</v>
      </c>
      <c r="AK68" s="7" t="str">
        <f t="shared" si="15"/>
        <v/>
      </c>
      <c r="AL68" s="6" t="s">
        <v>36</v>
      </c>
      <c r="AM68" s="7" t="str">
        <f t="shared" si="16"/>
        <v/>
      </c>
      <c r="AN68" s="6">
        <v>2.0</v>
      </c>
      <c r="AO68" s="7" t="str">
        <f t="shared" si="17"/>
        <v/>
      </c>
      <c r="AP68" s="6">
        <v>2.0</v>
      </c>
      <c r="AQ68" s="7" t="str">
        <f t="shared" si="18"/>
        <v/>
      </c>
      <c r="AR68" s="6">
        <v>2.0</v>
      </c>
      <c r="AS68" s="7" t="str">
        <f t="shared" si="19"/>
        <v/>
      </c>
      <c r="AT68" s="6">
        <v>2.0</v>
      </c>
      <c r="AU68" s="7" t="str">
        <f t="shared" si="20"/>
        <v/>
      </c>
      <c r="AV68" s="6">
        <v>2.0</v>
      </c>
      <c r="AW68" s="7" t="str">
        <f t="shared" si="21"/>
        <v/>
      </c>
    </row>
    <row r="69" ht="18.0" customHeight="1">
      <c r="A69" s="3">
        <v>67.0</v>
      </c>
      <c r="B69" s="3" t="s">
        <v>122</v>
      </c>
      <c r="C69" s="3" t="s">
        <v>62</v>
      </c>
      <c r="D69" s="1" t="s">
        <v>94</v>
      </c>
      <c r="E69" s="4" t="s">
        <v>98</v>
      </c>
      <c r="F69" s="4" t="s">
        <v>95</v>
      </c>
      <c r="G69" s="5"/>
      <c r="H69" s="6">
        <v>2.0</v>
      </c>
      <c r="I69" s="7" t="str">
        <f t="shared" si="1"/>
        <v/>
      </c>
      <c r="J69" s="6">
        <v>2.0</v>
      </c>
      <c r="K69" s="7" t="str">
        <f t="shared" si="2"/>
        <v/>
      </c>
      <c r="L69" s="6">
        <v>2.0</v>
      </c>
      <c r="M69" s="7" t="str">
        <f t="shared" si="3"/>
        <v/>
      </c>
      <c r="N69" s="6">
        <v>2.0</v>
      </c>
      <c r="O69" s="7" t="str">
        <f t="shared" si="4"/>
        <v/>
      </c>
      <c r="P69" s="6">
        <v>2.0</v>
      </c>
      <c r="Q69" s="7" t="str">
        <f t="shared" si="5"/>
        <v/>
      </c>
      <c r="R69" s="6">
        <v>2.0</v>
      </c>
      <c r="S69" s="7" t="str">
        <f t="shared" si="6"/>
        <v/>
      </c>
      <c r="T69" s="6">
        <v>2.0</v>
      </c>
      <c r="U69" s="7" t="str">
        <f t="shared" si="7"/>
        <v/>
      </c>
      <c r="V69" s="6" t="s">
        <v>36</v>
      </c>
      <c r="W69" s="7" t="str">
        <f t="shared" si="8"/>
        <v/>
      </c>
      <c r="X69" s="6">
        <v>2.0</v>
      </c>
      <c r="Y69" s="7" t="str">
        <f t="shared" si="9"/>
        <v/>
      </c>
      <c r="Z69" s="6">
        <v>2.0</v>
      </c>
      <c r="AA69" s="7" t="str">
        <f t="shared" si="10"/>
        <v/>
      </c>
      <c r="AB69" s="6">
        <v>2.0</v>
      </c>
      <c r="AC69" s="7" t="str">
        <f t="shared" si="11"/>
        <v/>
      </c>
      <c r="AD69" s="6">
        <v>2.0</v>
      </c>
      <c r="AE69" s="7" t="str">
        <f t="shared" si="12"/>
        <v/>
      </c>
      <c r="AF69" s="6">
        <v>2.0</v>
      </c>
      <c r="AG69" s="7" t="str">
        <f t="shared" si="13"/>
        <v/>
      </c>
      <c r="AH69" s="6">
        <v>2.0</v>
      </c>
      <c r="AI69" s="7" t="str">
        <f t="shared" si="14"/>
        <v/>
      </c>
      <c r="AJ69" s="6">
        <v>2.0</v>
      </c>
      <c r="AK69" s="7" t="str">
        <f t="shared" si="15"/>
        <v/>
      </c>
      <c r="AL69" s="6">
        <v>2.0</v>
      </c>
      <c r="AM69" s="7" t="str">
        <f t="shared" si="16"/>
        <v/>
      </c>
      <c r="AN69" s="6">
        <v>2.0</v>
      </c>
      <c r="AO69" s="7" t="str">
        <f t="shared" si="17"/>
        <v/>
      </c>
      <c r="AP69" s="6">
        <v>2.0</v>
      </c>
      <c r="AQ69" s="7" t="str">
        <f t="shared" si="18"/>
        <v/>
      </c>
      <c r="AR69" s="6">
        <v>2.0</v>
      </c>
      <c r="AS69" s="7" t="str">
        <f t="shared" si="19"/>
        <v/>
      </c>
      <c r="AT69" s="6">
        <v>2.0</v>
      </c>
      <c r="AU69" s="7" t="str">
        <f t="shared" si="20"/>
        <v/>
      </c>
      <c r="AV69" s="6">
        <v>2.0</v>
      </c>
      <c r="AW69" s="7" t="str">
        <f t="shared" si="21"/>
        <v/>
      </c>
    </row>
    <row r="70" ht="18.0" customHeight="1">
      <c r="A70" s="3">
        <v>68.0</v>
      </c>
      <c r="B70" s="3" t="s">
        <v>123</v>
      </c>
      <c r="C70" s="3" t="s">
        <v>124</v>
      </c>
      <c r="D70" s="1" t="s">
        <v>99</v>
      </c>
      <c r="E70" s="4" t="s">
        <v>109</v>
      </c>
      <c r="F70" s="4" t="s">
        <v>100</v>
      </c>
      <c r="G70" s="5"/>
      <c r="H70" s="6">
        <v>2.0</v>
      </c>
      <c r="I70" s="7" t="str">
        <f t="shared" si="1"/>
        <v/>
      </c>
      <c r="J70" s="6">
        <v>2.0</v>
      </c>
      <c r="K70" s="7" t="str">
        <f t="shared" si="2"/>
        <v/>
      </c>
      <c r="L70" s="6">
        <v>1.0</v>
      </c>
      <c r="M70" s="7" t="str">
        <f t="shared" si="3"/>
        <v/>
      </c>
      <c r="N70" s="6" t="s">
        <v>36</v>
      </c>
      <c r="O70" s="7" t="str">
        <f t="shared" si="4"/>
        <v/>
      </c>
      <c r="P70" s="6" t="s">
        <v>36</v>
      </c>
      <c r="Q70" s="7" t="str">
        <f t="shared" si="5"/>
        <v/>
      </c>
      <c r="R70" s="6" t="s">
        <v>36</v>
      </c>
      <c r="S70" s="7" t="str">
        <f t="shared" si="6"/>
        <v/>
      </c>
      <c r="T70" s="6">
        <v>2.0</v>
      </c>
      <c r="U70" s="7" t="str">
        <f t="shared" si="7"/>
        <v/>
      </c>
      <c r="V70" s="6">
        <v>2.0</v>
      </c>
      <c r="W70" s="7" t="str">
        <f t="shared" si="8"/>
        <v/>
      </c>
      <c r="X70" s="6">
        <v>1.0</v>
      </c>
      <c r="Y70" s="7" t="str">
        <f t="shared" si="9"/>
        <v/>
      </c>
      <c r="Z70" s="6">
        <v>2.0</v>
      </c>
      <c r="AA70" s="7" t="str">
        <f t="shared" si="10"/>
        <v/>
      </c>
      <c r="AB70" s="6">
        <v>2.0</v>
      </c>
      <c r="AC70" s="7" t="str">
        <f t="shared" si="11"/>
        <v/>
      </c>
      <c r="AD70" s="6">
        <v>2.0</v>
      </c>
      <c r="AE70" s="7" t="str">
        <f t="shared" si="12"/>
        <v/>
      </c>
      <c r="AF70" s="6">
        <v>2.0</v>
      </c>
      <c r="AG70" s="7" t="str">
        <f t="shared" si="13"/>
        <v/>
      </c>
      <c r="AH70" s="6" t="s">
        <v>36</v>
      </c>
      <c r="AI70" s="7" t="str">
        <f t="shared" si="14"/>
        <v/>
      </c>
      <c r="AJ70" s="6">
        <v>1.0</v>
      </c>
      <c r="AK70" s="7" t="str">
        <f t="shared" si="15"/>
        <v/>
      </c>
      <c r="AL70" s="6">
        <v>1.0</v>
      </c>
      <c r="AM70" s="7" t="str">
        <f t="shared" si="16"/>
        <v/>
      </c>
      <c r="AN70" s="6">
        <v>2.0</v>
      </c>
      <c r="AO70" s="7" t="str">
        <f t="shared" si="17"/>
        <v/>
      </c>
      <c r="AP70" s="6">
        <v>2.0</v>
      </c>
      <c r="AQ70" s="7" t="str">
        <f t="shared" si="18"/>
        <v/>
      </c>
      <c r="AR70" s="6">
        <v>2.0</v>
      </c>
      <c r="AS70" s="7" t="str">
        <f t="shared" si="19"/>
        <v/>
      </c>
      <c r="AT70" s="6">
        <v>2.0</v>
      </c>
      <c r="AU70" s="7" t="str">
        <f t="shared" si="20"/>
        <v/>
      </c>
      <c r="AV70" s="6" t="s">
        <v>36</v>
      </c>
      <c r="AW70" s="7" t="str">
        <f t="shared" si="21"/>
        <v/>
      </c>
    </row>
    <row r="71" ht="18.0" customHeight="1">
      <c r="A71" s="3">
        <v>69.0</v>
      </c>
      <c r="B71" s="3" t="s">
        <v>123</v>
      </c>
      <c r="C71" s="3" t="s">
        <v>124</v>
      </c>
      <c r="D71" s="1" t="s">
        <v>99</v>
      </c>
      <c r="E71" s="4" t="s">
        <v>101</v>
      </c>
      <c r="F71" s="4" t="s">
        <v>108</v>
      </c>
      <c r="G71" s="5"/>
      <c r="H71" s="6" t="s">
        <v>36</v>
      </c>
      <c r="I71" s="7" t="str">
        <f t="shared" si="1"/>
        <v/>
      </c>
      <c r="J71" s="6" t="s">
        <v>36</v>
      </c>
      <c r="K71" s="7" t="str">
        <f t="shared" si="2"/>
        <v/>
      </c>
      <c r="L71" s="6">
        <v>1.0</v>
      </c>
      <c r="M71" s="7" t="str">
        <f t="shared" si="3"/>
        <v/>
      </c>
      <c r="N71" s="6">
        <v>1.0</v>
      </c>
      <c r="O71" s="7" t="str">
        <f t="shared" si="4"/>
        <v/>
      </c>
      <c r="P71" s="6">
        <v>1.0</v>
      </c>
      <c r="Q71" s="7" t="str">
        <f t="shared" si="5"/>
        <v/>
      </c>
      <c r="R71" s="6" t="s">
        <v>36</v>
      </c>
      <c r="S71" s="7" t="str">
        <f t="shared" si="6"/>
        <v/>
      </c>
      <c r="T71" s="6" t="s">
        <v>36</v>
      </c>
      <c r="U71" s="7" t="str">
        <f t="shared" si="7"/>
        <v/>
      </c>
      <c r="V71" s="6">
        <v>2.0</v>
      </c>
      <c r="W71" s="7" t="str">
        <f t="shared" si="8"/>
        <v/>
      </c>
      <c r="X71" s="6">
        <v>1.0</v>
      </c>
      <c r="Y71" s="7" t="str">
        <f t="shared" si="9"/>
        <v/>
      </c>
      <c r="Z71" s="6" t="s">
        <v>36</v>
      </c>
      <c r="AA71" s="7" t="str">
        <f t="shared" si="10"/>
        <v/>
      </c>
      <c r="AB71" s="6" t="s">
        <v>36</v>
      </c>
      <c r="AC71" s="7" t="str">
        <f t="shared" si="11"/>
        <v/>
      </c>
      <c r="AD71" s="6" t="s">
        <v>36</v>
      </c>
      <c r="AE71" s="7" t="str">
        <f t="shared" si="12"/>
        <v/>
      </c>
      <c r="AF71" s="6">
        <v>2.0</v>
      </c>
      <c r="AG71" s="7" t="str">
        <f t="shared" si="13"/>
        <v/>
      </c>
      <c r="AH71" s="6" t="s">
        <v>36</v>
      </c>
      <c r="AI71" s="7" t="str">
        <f t="shared" si="14"/>
        <v/>
      </c>
      <c r="AJ71" s="6">
        <v>1.0</v>
      </c>
      <c r="AK71" s="7" t="str">
        <f t="shared" si="15"/>
        <v/>
      </c>
      <c r="AL71" s="6">
        <v>2.0</v>
      </c>
      <c r="AM71" s="7" t="str">
        <f t="shared" si="16"/>
        <v/>
      </c>
      <c r="AN71" s="6">
        <v>2.0</v>
      </c>
      <c r="AO71" s="7" t="str">
        <f t="shared" si="17"/>
        <v/>
      </c>
      <c r="AP71" s="6">
        <v>2.0</v>
      </c>
      <c r="AQ71" s="7" t="str">
        <f t="shared" si="18"/>
        <v/>
      </c>
      <c r="AR71" s="6">
        <v>1.0</v>
      </c>
      <c r="AS71" s="7" t="str">
        <f t="shared" si="19"/>
        <v/>
      </c>
      <c r="AT71" s="6">
        <v>1.0</v>
      </c>
      <c r="AU71" s="7" t="str">
        <f t="shared" si="20"/>
        <v/>
      </c>
      <c r="AV71" s="6">
        <v>2.0</v>
      </c>
      <c r="AW71" s="7" t="str">
        <f t="shared" si="21"/>
        <v/>
      </c>
    </row>
    <row r="72" ht="18.0" customHeight="1">
      <c r="A72" s="3">
        <v>70.0</v>
      </c>
      <c r="B72" s="3" t="s">
        <v>123</v>
      </c>
      <c r="C72" s="3" t="s">
        <v>38</v>
      </c>
      <c r="D72" s="1" t="s">
        <v>94</v>
      </c>
      <c r="E72" s="4" t="s">
        <v>96</v>
      </c>
      <c r="F72" s="4" t="s">
        <v>97</v>
      </c>
      <c r="G72" s="5"/>
      <c r="H72" s="6">
        <v>1.0</v>
      </c>
      <c r="I72" s="7" t="str">
        <f t="shared" si="1"/>
        <v/>
      </c>
      <c r="J72" s="6">
        <v>2.0</v>
      </c>
      <c r="K72" s="7" t="str">
        <f t="shared" si="2"/>
        <v/>
      </c>
      <c r="L72" s="6">
        <v>2.0</v>
      </c>
      <c r="M72" s="7" t="str">
        <f t="shared" si="3"/>
        <v/>
      </c>
      <c r="N72" s="6">
        <v>2.0</v>
      </c>
      <c r="O72" s="7" t="str">
        <f t="shared" si="4"/>
        <v/>
      </c>
      <c r="P72" s="6" t="s">
        <v>36</v>
      </c>
      <c r="Q72" s="7" t="str">
        <f t="shared" si="5"/>
        <v/>
      </c>
      <c r="R72" s="6" t="s">
        <v>36</v>
      </c>
      <c r="S72" s="7" t="str">
        <f t="shared" si="6"/>
        <v/>
      </c>
      <c r="T72" s="6" t="s">
        <v>36</v>
      </c>
      <c r="U72" s="7" t="str">
        <f t="shared" si="7"/>
        <v/>
      </c>
      <c r="V72" s="6" t="s">
        <v>36</v>
      </c>
      <c r="W72" s="7" t="str">
        <f t="shared" si="8"/>
        <v/>
      </c>
      <c r="X72" s="6">
        <v>1.0</v>
      </c>
      <c r="Y72" s="7" t="str">
        <f t="shared" si="9"/>
        <v/>
      </c>
      <c r="Z72" s="6">
        <v>2.0</v>
      </c>
      <c r="AA72" s="7" t="str">
        <f t="shared" si="10"/>
        <v/>
      </c>
      <c r="AB72" s="6">
        <v>1.0</v>
      </c>
      <c r="AC72" s="7" t="str">
        <f t="shared" si="11"/>
        <v/>
      </c>
      <c r="AD72" s="6" t="s">
        <v>36</v>
      </c>
      <c r="AE72" s="7" t="str">
        <f t="shared" si="12"/>
        <v/>
      </c>
      <c r="AF72" s="6" t="s">
        <v>49</v>
      </c>
      <c r="AG72" s="7" t="str">
        <f t="shared" si="13"/>
        <v/>
      </c>
      <c r="AH72" s="6" t="s">
        <v>36</v>
      </c>
      <c r="AI72" s="7" t="str">
        <f t="shared" si="14"/>
        <v/>
      </c>
      <c r="AJ72" s="6">
        <v>1.0</v>
      </c>
      <c r="AK72" s="7" t="str">
        <f t="shared" si="15"/>
        <v/>
      </c>
      <c r="AL72" s="6">
        <v>1.0</v>
      </c>
      <c r="AM72" s="7" t="str">
        <f t="shared" si="16"/>
        <v/>
      </c>
      <c r="AN72" s="6">
        <v>1.0</v>
      </c>
      <c r="AO72" s="7" t="str">
        <f t="shared" si="17"/>
        <v/>
      </c>
      <c r="AP72" s="6">
        <v>2.0</v>
      </c>
      <c r="AQ72" s="7" t="str">
        <f t="shared" si="18"/>
        <v/>
      </c>
      <c r="AR72" s="6">
        <v>2.0</v>
      </c>
      <c r="AS72" s="7" t="str">
        <f t="shared" si="19"/>
        <v/>
      </c>
      <c r="AT72" s="6">
        <v>2.0</v>
      </c>
      <c r="AU72" s="7" t="str">
        <f t="shared" si="20"/>
        <v/>
      </c>
      <c r="AV72" s="6">
        <v>1.0</v>
      </c>
      <c r="AW72" s="7" t="str">
        <f t="shared" si="21"/>
        <v/>
      </c>
    </row>
    <row r="73" ht="18.0" customHeight="1">
      <c r="A73" s="3">
        <v>71.0</v>
      </c>
      <c r="B73" s="3" t="s">
        <v>123</v>
      </c>
      <c r="C73" s="3" t="s">
        <v>62</v>
      </c>
      <c r="D73" s="1" t="s">
        <v>102</v>
      </c>
      <c r="E73" s="4" t="s">
        <v>104</v>
      </c>
      <c r="F73" s="4" t="s">
        <v>106</v>
      </c>
      <c r="G73" s="5"/>
      <c r="H73" s="6">
        <v>1.0</v>
      </c>
      <c r="I73" s="7" t="str">
        <f t="shared" si="1"/>
        <v/>
      </c>
      <c r="J73" s="6">
        <v>1.0</v>
      </c>
      <c r="K73" s="7" t="str">
        <f t="shared" si="2"/>
        <v/>
      </c>
      <c r="L73" s="6">
        <v>1.0</v>
      </c>
      <c r="M73" s="7" t="str">
        <f t="shared" si="3"/>
        <v/>
      </c>
      <c r="N73" s="6">
        <v>1.0</v>
      </c>
      <c r="O73" s="7" t="str">
        <f t="shared" si="4"/>
        <v/>
      </c>
      <c r="P73" s="6">
        <v>1.0</v>
      </c>
      <c r="Q73" s="7" t="str">
        <f t="shared" si="5"/>
        <v/>
      </c>
      <c r="R73" s="6">
        <v>1.0</v>
      </c>
      <c r="S73" s="7" t="str">
        <f t="shared" si="6"/>
        <v/>
      </c>
      <c r="T73" s="6">
        <v>1.0</v>
      </c>
      <c r="U73" s="7" t="str">
        <f t="shared" si="7"/>
        <v/>
      </c>
      <c r="V73" s="6" t="s">
        <v>36</v>
      </c>
      <c r="W73" s="7" t="str">
        <f t="shared" si="8"/>
        <v/>
      </c>
      <c r="X73" s="6">
        <v>1.0</v>
      </c>
      <c r="Y73" s="7" t="str">
        <f t="shared" si="9"/>
        <v/>
      </c>
      <c r="Z73" s="6" t="s">
        <v>36</v>
      </c>
      <c r="AA73" s="7" t="str">
        <f t="shared" si="10"/>
        <v/>
      </c>
      <c r="AB73" s="6">
        <v>1.0</v>
      </c>
      <c r="AC73" s="7" t="str">
        <f t="shared" si="11"/>
        <v/>
      </c>
      <c r="AD73" s="6">
        <v>1.0</v>
      </c>
      <c r="AE73" s="7" t="str">
        <f t="shared" si="12"/>
        <v/>
      </c>
      <c r="AF73" s="6">
        <v>1.0</v>
      </c>
      <c r="AG73" s="7" t="str">
        <f t="shared" si="13"/>
        <v/>
      </c>
      <c r="AH73" s="6" t="s">
        <v>36</v>
      </c>
      <c r="AI73" s="7" t="str">
        <f t="shared" si="14"/>
        <v/>
      </c>
      <c r="AJ73" s="6">
        <v>2.0</v>
      </c>
      <c r="AK73" s="7" t="str">
        <f t="shared" si="15"/>
        <v/>
      </c>
      <c r="AL73" s="6" t="s">
        <v>36</v>
      </c>
      <c r="AM73" s="7" t="str">
        <f t="shared" si="16"/>
        <v/>
      </c>
      <c r="AN73" s="6">
        <v>1.0</v>
      </c>
      <c r="AO73" s="7" t="str">
        <f t="shared" si="17"/>
        <v/>
      </c>
      <c r="AP73" s="6">
        <v>1.0</v>
      </c>
      <c r="AQ73" s="7" t="str">
        <f t="shared" si="18"/>
        <v/>
      </c>
      <c r="AR73" s="6">
        <v>1.0</v>
      </c>
      <c r="AS73" s="7" t="str">
        <f t="shared" si="19"/>
        <v/>
      </c>
      <c r="AT73" s="6">
        <v>2.0</v>
      </c>
      <c r="AU73" s="7" t="str">
        <f t="shared" si="20"/>
        <v/>
      </c>
      <c r="AV73" s="6">
        <v>1.0</v>
      </c>
      <c r="AW73" s="7" t="str">
        <f t="shared" si="21"/>
        <v/>
      </c>
    </row>
    <row r="74" ht="18.0" customHeight="1">
      <c r="A74" s="3">
        <v>72.0</v>
      </c>
      <c r="B74" s="3" t="s">
        <v>123</v>
      </c>
      <c r="C74" s="3" t="s">
        <v>62</v>
      </c>
      <c r="D74" s="1" t="s">
        <v>102</v>
      </c>
      <c r="E74" s="4" t="s">
        <v>107</v>
      </c>
      <c r="F74" s="4" t="s">
        <v>103</v>
      </c>
      <c r="G74" s="5"/>
      <c r="H74" s="6">
        <v>2.0</v>
      </c>
      <c r="I74" s="7" t="str">
        <f t="shared" si="1"/>
        <v/>
      </c>
      <c r="J74" s="6">
        <v>2.0</v>
      </c>
      <c r="K74" s="7" t="str">
        <f t="shared" si="2"/>
        <v/>
      </c>
      <c r="L74" s="6">
        <v>2.0</v>
      </c>
      <c r="M74" s="7" t="str">
        <f t="shared" si="3"/>
        <v/>
      </c>
      <c r="N74" s="6">
        <v>2.0</v>
      </c>
      <c r="O74" s="7" t="str">
        <f t="shared" si="4"/>
        <v/>
      </c>
      <c r="P74" s="6">
        <v>2.0</v>
      </c>
      <c r="Q74" s="7" t="str">
        <f t="shared" si="5"/>
        <v/>
      </c>
      <c r="R74" s="6">
        <v>2.0</v>
      </c>
      <c r="S74" s="7" t="str">
        <f t="shared" si="6"/>
        <v/>
      </c>
      <c r="T74" s="6">
        <v>2.0</v>
      </c>
      <c r="U74" s="7" t="str">
        <f t="shared" si="7"/>
        <v/>
      </c>
      <c r="V74" s="6">
        <v>2.0</v>
      </c>
      <c r="W74" s="7" t="str">
        <f t="shared" si="8"/>
        <v/>
      </c>
      <c r="X74" s="6">
        <v>2.0</v>
      </c>
      <c r="Y74" s="7" t="str">
        <f t="shared" si="9"/>
        <v/>
      </c>
      <c r="Z74" s="6">
        <v>2.0</v>
      </c>
      <c r="AA74" s="7" t="str">
        <f t="shared" si="10"/>
        <v/>
      </c>
      <c r="AB74" s="6">
        <v>2.0</v>
      </c>
      <c r="AC74" s="7" t="str">
        <f t="shared" si="11"/>
        <v/>
      </c>
      <c r="AD74" s="6">
        <v>2.0</v>
      </c>
      <c r="AE74" s="7" t="str">
        <f t="shared" si="12"/>
        <v/>
      </c>
      <c r="AF74" s="6">
        <v>2.0</v>
      </c>
      <c r="AG74" s="7" t="str">
        <f t="shared" si="13"/>
        <v/>
      </c>
      <c r="AH74" s="6">
        <v>2.0</v>
      </c>
      <c r="AI74" s="7" t="str">
        <f t="shared" si="14"/>
        <v/>
      </c>
      <c r="AJ74" s="6">
        <v>2.0</v>
      </c>
      <c r="AK74" s="7" t="str">
        <f t="shared" si="15"/>
        <v/>
      </c>
      <c r="AL74" s="6">
        <v>2.0</v>
      </c>
      <c r="AM74" s="7" t="str">
        <f t="shared" si="16"/>
        <v/>
      </c>
      <c r="AN74" s="6">
        <v>2.0</v>
      </c>
      <c r="AO74" s="7" t="str">
        <f t="shared" si="17"/>
        <v/>
      </c>
      <c r="AP74" s="6">
        <v>2.0</v>
      </c>
      <c r="AQ74" s="7" t="str">
        <f t="shared" si="18"/>
        <v/>
      </c>
      <c r="AR74" s="6">
        <v>2.0</v>
      </c>
      <c r="AS74" s="7" t="str">
        <f t="shared" si="19"/>
        <v/>
      </c>
      <c r="AT74" s="6">
        <v>2.0</v>
      </c>
      <c r="AU74" s="7" t="str">
        <f t="shared" si="20"/>
        <v/>
      </c>
      <c r="AV74" s="6">
        <v>2.0</v>
      </c>
      <c r="AW74" s="7" t="str">
        <f t="shared" si="21"/>
        <v/>
      </c>
    </row>
    <row r="75" ht="14.25" customHeight="1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</row>
    <row r="76" ht="14.25" customHeight="1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</row>
    <row r="77" ht="14.25" customHeight="1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</row>
    <row r="78" ht="14.25" customHeight="1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</row>
    <row r="79" ht="14.25" customHeight="1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</row>
    <row r="80" ht="14.25" customHeight="1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</row>
    <row r="81" ht="14.25" customHeight="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</row>
    <row r="82" ht="14.25" customHeight="1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</row>
    <row r="83" ht="14.25" customHeight="1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</row>
    <row r="84" ht="14.25" customHeight="1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</row>
    <row r="85" ht="14.25" customHeight="1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</row>
    <row r="86" ht="14.25" customHeight="1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</row>
    <row r="87" ht="14.25" customHeight="1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</row>
    <row r="88" ht="14.25" customHeight="1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</row>
    <row r="89" ht="14.25" customHeight="1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</row>
    <row r="90" ht="14.25" customHeight="1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</row>
    <row r="91" ht="14.25" customHeight="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</row>
    <row r="92" ht="14.25" customHeight="1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</row>
    <row r="93" ht="14.25" customHeight="1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</row>
    <row r="94" ht="14.25" customHeight="1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</row>
    <row r="95" ht="14.25" customHeight="1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</row>
    <row r="96" ht="14.25" customHeight="1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</row>
    <row r="97" ht="14.25" customHeight="1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</row>
    <row r="98" ht="14.25" customHeight="1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</row>
    <row r="99" ht="14.25" customHeight="1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</row>
    <row r="100" ht="14.25" customHeight="1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</row>
    <row r="101" ht="14.25" customHeight="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</row>
    <row r="102" ht="14.25" customHeight="1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</row>
    <row r="103" ht="14.25" customHeight="1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</row>
    <row r="104" ht="14.25" customHeight="1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</row>
    <row r="105" ht="14.25" customHeight="1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</row>
    <row r="106" ht="14.25" customHeight="1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</row>
    <row r="107" ht="14.25" customHeight="1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</row>
    <row r="108" ht="14.25" customHeight="1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</row>
    <row r="109" ht="14.25" customHeight="1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</row>
    <row r="110" ht="14.25" customHeight="1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</row>
    <row r="111" ht="14.25" customHeight="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</row>
    <row r="112" ht="14.25" customHeight="1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</row>
    <row r="113" ht="14.25" customHeight="1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</row>
    <row r="114" ht="14.25" customHeight="1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</row>
    <row r="115" ht="14.25" customHeight="1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</row>
    <row r="116" ht="14.25" customHeight="1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</row>
    <row r="117" ht="14.25" customHeight="1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</row>
    <row r="118" ht="14.25" customHeight="1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</row>
    <row r="119" ht="14.25" customHeight="1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</row>
    <row r="120" ht="14.25" customHeight="1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</row>
    <row r="121" ht="14.25" customHeight="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</row>
    <row r="122" ht="14.25" customHeight="1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</row>
    <row r="123" ht="14.25" customHeight="1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</row>
    <row r="124" ht="14.25" customHeight="1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</row>
    <row r="125" ht="14.25" customHeight="1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</row>
    <row r="126" ht="14.25" customHeight="1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</row>
    <row r="127" ht="14.25" customHeight="1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</row>
    <row r="128" ht="14.25" customHeight="1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</row>
    <row r="129" ht="14.25" customHeight="1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</row>
    <row r="130" ht="14.25" customHeight="1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</row>
    <row r="131" ht="14.25" customHeight="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</row>
    <row r="132" ht="14.25" customHeight="1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</row>
    <row r="133" ht="14.25" customHeight="1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</row>
    <row r="134" ht="14.25" customHeight="1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</row>
    <row r="135" ht="14.25" customHeight="1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</row>
    <row r="136" ht="14.25" customHeight="1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</row>
    <row r="137" ht="14.25" customHeight="1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</row>
    <row r="138" ht="14.25" customHeight="1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</row>
    <row r="139" ht="14.25" customHeight="1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</row>
    <row r="140" ht="14.25" customHeight="1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</row>
    <row r="141" ht="14.25" customHeight="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</row>
    <row r="142" ht="14.25" customHeight="1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</row>
    <row r="143" ht="14.25" customHeight="1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</row>
    <row r="144" ht="14.25" customHeight="1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</row>
    <row r="145" ht="14.25" customHeight="1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</row>
    <row r="146" ht="14.25" customHeight="1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</row>
    <row r="147" ht="14.25" customHeight="1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</row>
    <row r="148" ht="14.25" customHeight="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</row>
    <row r="149" ht="14.25" customHeight="1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</row>
    <row r="150" ht="14.25" customHeight="1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</row>
    <row r="151" ht="14.25" customHeight="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</row>
    <row r="152" ht="14.25" customHeight="1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</row>
    <row r="153" ht="14.25" customHeight="1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</row>
    <row r="154" ht="14.25" customHeight="1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</row>
    <row r="155" ht="14.25" customHeight="1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</row>
    <row r="156" ht="14.25" customHeight="1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</row>
    <row r="157" ht="14.25" customHeight="1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</row>
    <row r="158" ht="14.25" customHeight="1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</row>
    <row r="159" ht="14.25" customHeight="1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</row>
    <row r="160" ht="14.25" customHeight="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</row>
    <row r="161" ht="14.25" customHeight="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</row>
    <row r="162" ht="14.25" customHeight="1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</row>
    <row r="163" ht="14.25" customHeight="1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</row>
    <row r="164" ht="14.25" customHeight="1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</row>
    <row r="165" ht="14.25" customHeight="1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</row>
    <row r="166" ht="14.25" customHeight="1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</row>
    <row r="167" ht="14.25" customHeight="1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</row>
    <row r="168" ht="14.25" customHeight="1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</row>
    <row r="169" ht="14.25" customHeight="1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</row>
    <row r="170" ht="14.25" customHeight="1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</row>
    <row r="171" ht="14.25" customHeight="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</row>
    <row r="172" ht="14.25" customHeight="1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</row>
    <row r="173" ht="14.25" customHeight="1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</row>
    <row r="174" ht="14.25" customHeight="1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</row>
    <row r="175" ht="14.25" customHeight="1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</row>
    <row r="176" ht="14.25" customHeight="1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</row>
    <row r="177" ht="14.25" customHeight="1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</row>
    <row r="178" ht="14.25" customHeight="1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</row>
    <row r="179" ht="14.25" customHeight="1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</row>
    <row r="180" ht="14.25" customHeight="1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</row>
    <row r="181" ht="14.25" customHeight="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</row>
    <row r="182" ht="14.25" customHeight="1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</row>
    <row r="183" ht="14.25" customHeight="1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</row>
    <row r="184" ht="14.25" customHeight="1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</row>
    <row r="185" ht="14.25" customHeight="1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</row>
    <row r="186" ht="14.25" customHeight="1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</row>
    <row r="187" ht="14.25" customHeight="1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</row>
    <row r="188" ht="14.25" customHeight="1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</row>
    <row r="189" ht="14.25" customHeight="1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</row>
    <row r="190" ht="14.25" customHeight="1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</row>
    <row r="191" ht="14.25" customHeight="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</row>
    <row r="192" ht="14.25" customHeight="1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</row>
    <row r="193" ht="14.25" customHeight="1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</row>
    <row r="194" ht="14.25" customHeight="1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</row>
    <row r="195" ht="14.25" customHeight="1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</row>
    <row r="196" ht="14.25" customHeight="1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</row>
    <row r="197" ht="14.25" customHeight="1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</row>
    <row r="198" ht="14.25" customHeight="1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</row>
    <row r="199" ht="14.25" customHeight="1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</row>
    <row r="200" ht="14.25" customHeight="1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</row>
    <row r="201" ht="14.25" customHeight="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</row>
    <row r="202" ht="14.25" customHeight="1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</row>
    <row r="203" ht="14.25" customHeight="1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</row>
    <row r="204" ht="14.25" customHeight="1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</row>
    <row r="205" ht="14.25" customHeight="1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</row>
    <row r="206" ht="14.25" customHeight="1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</row>
    <row r="207" ht="14.2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</row>
    <row r="208" ht="14.2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</row>
    <row r="209" ht="14.2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</row>
    <row r="210" ht="14.2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</row>
    <row r="211" ht="14.2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</row>
    <row r="212" ht="14.2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</row>
    <row r="213" ht="14.2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</row>
    <row r="214" ht="14.2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</row>
    <row r="215" ht="14.2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</row>
    <row r="216" ht="14.2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</row>
    <row r="217" ht="14.2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</row>
    <row r="218" ht="14.2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</row>
    <row r="219" ht="14.2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</row>
    <row r="220" ht="14.2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</row>
    <row r="221" ht="14.2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</row>
    <row r="222" ht="14.2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</row>
    <row r="223" ht="14.2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</row>
    <row r="224" ht="14.2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</row>
    <row r="225" ht="14.2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</row>
    <row r="226" ht="14.25" customHeight="1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</row>
    <row r="227" ht="14.25" customHeight="1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</row>
    <row r="228" ht="14.25" customHeight="1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</row>
    <row r="229" ht="14.25" customHeight="1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</row>
    <row r="230" ht="14.25" customHeight="1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</row>
    <row r="231" ht="14.25" customHeight="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</row>
    <row r="232" ht="14.25" customHeight="1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</row>
    <row r="233" ht="14.25" customHeight="1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</row>
    <row r="234" ht="14.25" customHeight="1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</row>
    <row r="235" ht="14.25" customHeight="1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</row>
    <row r="236" ht="14.25" customHeight="1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</row>
    <row r="237" ht="14.25" customHeight="1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</row>
    <row r="238" ht="14.25" customHeight="1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</row>
    <row r="239" ht="14.25" customHeight="1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</row>
    <row r="240" ht="14.25" customHeight="1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</row>
    <row r="241" ht="14.25" customHeight="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</row>
    <row r="242" ht="14.25" customHeight="1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</row>
    <row r="243" ht="14.25" customHeight="1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</row>
    <row r="244" ht="14.25" customHeight="1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</row>
    <row r="245" ht="14.25" customHeight="1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</row>
    <row r="246" ht="14.25" customHeight="1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</row>
    <row r="247" ht="14.25" customHeight="1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</row>
    <row r="248" ht="14.25" customHeight="1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</row>
    <row r="249" ht="14.25" customHeight="1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</row>
    <row r="250" ht="14.25" customHeight="1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</row>
    <row r="251" ht="14.25" customHeight="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</row>
    <row r="252" ht="14.25" customHeight="1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</row>
    <row r="253" ht="14.25" customHeight="1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</row>
    <row r="254" ht="14.25" customHeight="1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</row>
    <row r="255" ht="14.25" customHeight="1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</row>
    <row r="256" ht="14.25" customHeight="1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</row>
    <row r="257" ht="14.25" customHeight="1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</row>
    <row r="258" ht="14.25" customHeight="1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</row>
    <row r="259" ht="14.25" customHeight="1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</row>
    <row r="260" ht="14.25" customHeight="1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</row>
    <row r="261" ht="14.25" customHeight="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</row>
    <row r="262" ht="14.25" customHeight="1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</row>
    <row r="263" ht="14.25" customHeight="1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</row>
    <row r="264" ht="14.25" customHeight="1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</row>
    <row r="265" ht="14.25" customHeight="1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</row>
    <row r="266" ht="14.25" customHeight="1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</row>
    <row r="267" ht="14.25" customHeight="1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</row>
    <row r="268" ht="14.25" customHeight="1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</row>
    <row r="269" ht="14.25" customHeight="1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</row>
    <row r="270" ht="14.25" customHeight="1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</row>
    <row r="271" ht="14.25" customHeight="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</row>
    <row r="272" ht="14.25" customHeight="1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</row>
    <row r="273" ht="14.25" customHeight="1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</row>
    <row r="274" ht="14.25" customHeight="1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</row>
    <row r="275" ht="14.25" customHeight="1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</row>
    <row r="276" ht="14.25" customHeight="1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</row>
    <row r="277" ht="14.25" customHeight="1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</row>
    <row r="278" ht="14.25" customHeight="1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</row>
    <row r="279" ht="14.25" customHeight="1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</row>
    <row r="280" ht="14.25" customHeight="1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</row>
    <row r="281" ht="14.25" customHeight="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</row>
    <row r="282" ht="14.25" customHeight="1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</row>
    <row r="283" ht="14.25" customHeight="1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</row>
    <row r="284" ht="14.25" customHeight="1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</row>
    <row r="285" ht="14.25" customHeight="1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</row>
    <row r="286" ht="14.25" customHeight="1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</row>
    <row r="287" ht="14.25" customHeight="1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</row>
    <row r="288" ht="14.25" customHeight="1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</row>
    <row r="289" ht="14.25" customHeight="1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</row>
    <row r="290" ht="14.25" customHeight="1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</row>
    <row r="291" ht="14.25" customHeight="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</row>
    <row r="292" ht="14.25" customHeight="1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</row>
    <row r="293" ht="14.25" customHeight="1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</row>
    <row r="294" ht="14.25" customHeight="1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</row>
    <row r="295" ht="14.25" customHeight="1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</row>
    <row r="296" ht="14.25" customHeight="1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</row>
    <row r="297" ht="14.25" customHeight="1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</row>
    <row r="298" ht="14.25" customHeight="1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</row>
    <row r="299" ht="14.25" customHeight="1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</row>
    <row r="300" ht="14.25" customHeight="1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</row>
    <row r="301" ht="14.25" customHeight="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</row>
    <row r="302" ht="14.25" customHeight="1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</row>
    <row r="303" ht="14.25" customHeight="1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</row>
    <row r="304" ht="14.25" customHeight="1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</row>
    <row r="305" ht="14.25" customHeight="1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</row>
    <row r="306" ht="14.25" customHeight="1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</row>
    <row r="307" ht="14.25" customHeight="1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</row>
    <row r="308" ht="14.25" customHeight="1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</row>
    <row r="309" ht="14.25" customHeight="1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</row>
    <row r="310" ht="14.25" customHeight="1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</row>
    <row r="311" ht="14.25" customHeight="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</row>
    <row r="312" ht="14.25" customHeight="1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</row>
    <row r="313" ht="14.25" customHeight="1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</row>
    <row r="314" ht="14.25" customHeight="1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</row>
    <row r="315" ht="14.25" customHeight="1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</row>
    <row r="316" ht="14.25" customHeight="1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</row>
    <row r="317" ht="14.25" customHeight="1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</row>
    <row r="318" ht="14.25" customHeight="1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</row>
    <row r="319" ht="14.25" customHeight="1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</row>
    <row r="320" ht="14.25" customHeight="1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</row>
    <row r="321" ht="14.25" customHeight="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</row>
    <row r="322" ht="14.25" customHeight="1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</row>
    <row r="323" ht="14.25" customHeight="1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</row>
    <row r="324" ht="14.25" customHeight="1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</row>
    <row r="325" ht="14.25" customHeight="1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</row>
    <row r="326" ht="14.25" customHeight="1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</row>
    <row r="327" ht="14.2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</row>
    <row r="328" ht="14.2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</row>
    <row r="329" ht="14.2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</row>
    <row r="330" ht="14.2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</row>
    <row r="331" ht="14.2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</row>
    <row r="332" ht="14.2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</row>
    <row r="333" ht="14.2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</row>
    <row r="334" ht="14.2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</row>
    <row r="335" ht="14.2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</row>
    <row r="336" ht="14.2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</row>
    <row r="337" ht="14.2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</row>
    <row r="338" ht="14.2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</row>
    <row r="339" ht="14.2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</row>
    <row r="340" ht="14.2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</row>
    <row r="341" ht="14.2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</row>
    <row r="342" ht="14.2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</row>
    <row r="343" ht="14.2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</row>
    <row r="344" ht="14.2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</row>
    <row r="345" ht="14.2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</row>
    <row r="346" ht="14.2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</row>
    <row r="347" ht="14.2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</row>
    <row r="348" ht="14.2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</row>
    <row r="349" ht="14.2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</row>
    <row r="350" ht="14.2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</row>
    <row r="351" ht="14.2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</row>
    <row r="352" ht="14.2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</row>
    <row r="353" ht="14.2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</row>
    <row r="354" ht="14.2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</row>
    <row r="355" ht="14.2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</row>
    <row r="356" ht="14.2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</row>
    <row r="357" ht="14.2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</row>
    <row r="358" ht="14.2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</row>
    <row r="359" ht="14.2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</row>
    <row r="360" ht="14.2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</row>
    <row r="361" ht="14.2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</row>
    <row r="362" ht="14.2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</row>
    <row r="363" ht="14.2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</row>
    <row r="364" ht="14.2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</row>
    <row r="365" ht="14.2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</row>
    <row r="366" ht="14.2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</row>
    <row r="367" ht="14.2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</row>
    <row r="368" ht="14.2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</row>
    <row r="369" ht="14.2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</row>
    <row r="370" ht="14.2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</row>
    <row r="371" ht="14.2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</row>
    <row r="372" ht="14.2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</row>
    <row r="373" ht="14.2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</row>
    <row r="374" ht="14.2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</row>
    <row r="375" ht="14.2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</row>
    <row r="376" ht="14.2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</row>
    <row r="377" ht="14.2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</row>
    <row r="378" ht="14.2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</row>
    <row r="379" ht="14.2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</row>
    <row r="380" ht="14.2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</row>
    <row r="381" ht="14.2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</row>
    <row r="382" ht="14.2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</row>
    <row r="383" ht="14.2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</row>
    <row r="384" ht="14.2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</row>
    <row r="385" ht="14.2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</row>
    <row r="386" ht="14.2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</row>
    <row r="387" ht="14.2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</row>
    <row r="388" ht="14.2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</row>
    <row r="389" ht="14.2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</row>
    <row r="390" ht="14.2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</row>
    <row r="391" ht="14.2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</row>
    <row r="392" ht="14.2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</row>
    <row r="393" ht="14.2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</row>
    <row r="394" ht="14.2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</row>
    <row r="395" ht="14.2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</row>
    <row r="396" ht="14.2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</row>
    <row r="397" ht="14.2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</row>
    <row r="398" ht="14.2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</row>
    <row r="399" ht="14.2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</row>
    <row r="400" ht="14.2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</row>
    <row r="401" ht="14.2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</row>
    <row r="402" ht="14.2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</row>
    <row r="403" ht="14.2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</row>
    <row r="404" ht="14.2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</row>
    <row r="405" ht="14.2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</row>
    <row r="406" ht="14.2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</row>
    <row r="407" ht="14.2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</row>
    <row r="408" ht="14.2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</row>
    <row r="409" ht="14.2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</row>
    <row r="410" ht="14.2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</row>
    <row r="411" ht="14.2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</row>
    <row r="412" ht="14.2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</row>
    <row r="413" ht="14.2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</row>
    <row r="414" ht="14.2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</row>
    <row r="415" ht="14.2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</row>
    <row r="416" ht="14.2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</row>
    <row r="417" ht="14.2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</row>
    <row r="418" ht="14.2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</row>
    <row r="419" ht="14.2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</row>
    <row r="420" ht="14.2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</row>
    <row r="421" ht="14.2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</row>
    <row r="422" ht="14.2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</row>
    <row r="423" ht="14.2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</row>
    <row r="424" ht="14.2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</row>
    <row r="425" ht="14.2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</row>
    <row r="426" ht="14.2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  <c r="AT426" s="9"/>
      <c r="AU426" s="9"/>
      <c r="AV426" s="9"/>
      <c r="AW426" s="9"/>
    </row>
    <row r="427" ht="14.2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  <c r="AT427" s="9"/>
      <c r="AU427" s="9"/>
      <c r="AV427" s="9"/>
      <c r="AW427" s="9"/>
    </row>
    <row r="428" ht="14.2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</row>
    <row r="429" ht="14.2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  <c r="AT429" s="9"/>
      <c r="AU429" s="9"/>
      <c r="AV429" s="9"/>
      <c r="AW429" s="9"/>
    </row>
    <row r="430" ht="14.2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</row>
    <row r="431" ht="14.2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</row>
    <row r="432" ht="14.2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</row>
    <row r="433" ht="14.2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</row>
    <row r="434" ht="14.2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</row>
    <row r="435" ht="14.2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</row>
    <row r="436" ht="14.2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</row>
    <row r="437" ht="14.2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</row>
    <row r="438" ht="14.2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</row>
    <row r="439" ht="14.2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</row>
    <row r="440" ht="14.2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</row>
    <row r="441" ht="14.2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</row>
    <row r="442" ht="14.2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</row>
    <row r="443" ht="14.2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</row>
    <row r="444" ht="14.2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</row>
    <row r="445" ht="14.2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</row>
    <row r="446" ht="14.2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</row>
    <row r="447" ht="14.2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</row>
    <row r="448" ht="14.2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</row>
    <row r="449" ht="14.2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</row>
    <row r="450" ht="14.2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</row>
    <row r="451" ht="14.2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</row>
    <row r="452" ht="14.2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</row>
    <row r="453" ht="14.2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</row>
    <row r="454" ht="14.2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</row>
    <row r="455" ht="14.2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</row>
    <row r="456" ht="14.2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</row>
    <row r="457" ht="14.2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</row>
    <row r="458" ht="14.2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</row>
    <row r="459" ht="14.2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</row>
    <row r="460" ht="14.2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</row>
    <row r="461" ht="14.2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</row>
    <row r="462" ht="14.2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</row>
    <row r="463" ht="14.2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</row>
    <row r="464" ht="14.2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</row>
    <row r="465" ht="14.2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</row>
    <row r="466" ht="14.2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</row>
    <row r="467" ht="14.2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</row>
    <row r="468" ht="14.2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</row>
    <row r="469" ht="14.2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</row>
    <row r="470" ht="14.2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</row>
    <row r="471" ht="14.2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</row>
    <row r="472" ht="14.2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</row>
    <row r="473" ht="14.2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</row>
    <row r="474" ht="14.2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</row>
    <row r="475" ht="14.2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</row>
    <row r="476" ht="14.2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</row>
    <row r="477" ht="14.2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</row>
    <row r="478" ht="14.2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</row>
    <row r="479" ht="14.2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</row>
    <row r="480" ht="14.2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</row>
    <row r="481" ht="14.2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</row>
    <row r="482" ht="14.2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</row>
    <row r="483" ht="14.2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</row>
    <row r="484" ht="14.2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</row>
    <row r="485" ht="14.2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</row>
    <row r="486" ht="14.2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</row>
    <row r="487" ht="14.2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</row>
    <row r="488" ht="14.2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</row>
    <row r="489" ht="14.2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</row>
    <row r="490" ht="14.2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</row>
    <row r="491" ht="14.2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</row>
    <row r="492" ht="14.2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</row>
    <row r="493" ht="14.2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</row>
    <row r="494" ht="14.2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</row>
    <row r="495" ht="14.2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</row>
    <row r="496" ht="14.2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</row>
    <row r="497" ht="14.2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</row>
    <row r="498" ht="14.2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</row>
    <row r="499" ht="14.2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</row>
    <row r="500" ht="14.2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</row>
    <row r="501" ht="14.2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</row>
    <row r="502" ht="14.2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</row>
    <row r="503" ht="14.2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</row>
    <row r="504" ht="14.2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</row>
    <row r="505" ht="14.2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</row>
    <row r="506" ht="14.2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</row>
    <row r="507" ht="14.2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</row>
    <row r="508" ht="14.2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</row>
    <row r="509" ht="14.2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</row>
    <row r="510" ht="14.2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</row>
    <row r="511" ht="14.2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</row>
    <row r="512" ht="14.2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</row>
    <row r="513" ht="14.2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</row>
    <row r="514" ht="14.2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</row>
    <row r="515" ht="14.2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</row>
    <row r="516" ht="14.2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</row>
    <row r="517" ht="14.2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</row>
    <row r="518" ht="14.2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</row>
    <row r="519" ht="14.2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</row>
    <row r="520" ht="14.2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</row>
    <row r="521" ht="14.2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</row>
    <row r="522" ht="14.2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</row>
    <row r="523" ht="14.2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</row>
    <row r="524" ht="14.2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</row>
    <row r="525" ht="14.2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</row>
    <row r="526" ht="14.2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</row>
    <row r="527" ht="14.2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</row>
    <row r="528" ht="14.2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</row>
    <row r="529" ht="14.2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</row>
    <row r="530" ht="14.2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</row>
    <row r="531" ht="14.2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</row>
    <row r="532" ht="14.2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</row>
    <row r="533" ht="14.2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</row>
    <row r="534" ht="14.2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</row>
    <row r="535" ht="14.2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</row>
    <row r="536" ht="14.2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</row>
    <row r="537" ht="14.2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</row>
    <row r="538" ht="14.2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</row>
    <row r="539" ht="14.2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</row>
    <row r="540" ht="14.2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</row>
    <row r="541" ht="14.2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</row>
    <row r="542" ht="14.2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</row>
    <row r="543" ht="14.2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</row>
    <row r="544" ht="14.2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</row>
    <row r="545" ht="14.2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</row>
    <row r="546" ht="14.2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</row>
    <row r="547" ht="14.2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9"/>
      <c r="AR547" s="9"/>
      <c r="AS547" s="9"/>
      <c r="AT547" s="9"/>
      <c r="AU547" s="9"/>
      <c r="AV547" s="9"/>
      <c r="AW547" s="9"/>
    </row>
    <row r="548" ht="14.2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9"/>
      <c r="AR548" s="9"/>
      <c r="AS548" s="9"/>
      <c r="AT548" s="9"/>
      <c r="AU548" s="9"/>
      <c r="AV548" s="9"/>
      <c r="AW548" s="9"/>
    </row>
    <row r="549" ht="14.2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</row>
    <row r="550" ht="14.2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</row>
    <row r="551" ht="14.2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</row>
    <row r="552" ht="14.2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9"/>
      <c r="AR552" s="9"/>
      <c r="AS552" s="9"/>
      <c r="AT552" s="9"/>
      <c r="AU552" s="9"/>
      <c r="AV552" s="9"/>
      <c r="AW552" s="9"/>
    </row>
    <row r="553" ht="14.2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9"/>
      <c r="AR553" s="9"/>
      <c r="AS553" s="9"/>
      <c r="AT553" s="9"/>
      <c r="AU553" s="9"/>
      <c r="AV553" s="9"/>
      <c r="AW553" s="9"/>
    </row>
    <row r="554" ht="14.2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9"/>
      <c r="AR554" s="9"/>
      <c r="AS554" s="9"/>
      <c r="AT554" s="9"/>
      <c r="AU554" s="9"/>
      <c r="AV554" s="9"/>
      <c r="AW554" s="9"/>
    </row>
    <row r="555" ht="14.2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9"/>
      <c r="AR555" s="9"/>
      <c r="AS555" s="9"/>
      <c r="AT555" s="9"/>
      <c r="AU555" s="9"/>
      <c r="AV555" s="9"/>
      <c r="AW555" s="9"/>
    </row>
    <row r="556" ht="14.2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9"/>
      <c r="AR556" s="9"/>
      <c r="AS556" s="9"/>
      <c r="AT556" s="9"/>
      <c r="AU556" s="9"/>
      <c r="AV556" s="9"/>
      <c r="AW556" s="9"/>
    </row>
    <row r="557" ht="14.2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9"/>
      <c r="AR557" s="9"/>
      <c r="AS557" s="9"/>
      <c r="AT557" s="9"/>
      <c r="AU557" s="9"/>
      <c r="AV557" s="9"/>
      <c r="AW557" s="9"/>
    </row>
    <row r="558" ht="14.2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9"/>
      <c r="AR558" s="9"/>
      <c r="AS558" s="9"/>
      <c r="AT558" s="9"/>
      <c r="AU558" s="9"/>
      <c r="AV558" s="9"/>
      <c r="AW558" s="9"/>
    </row>
    <row r="559" ht="14.2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9"/>
      <c r="AR559" s="9"/>
      <c r="AS559" s="9"/>
      <c r="AT559" s="9"/>
      <c r="AU559" s="9"/>
      <c r="AV559" s="9"/>
      <c r="AW559" s="9"/>
    </row>
    <row r="560" ht="14.2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9"/>
      <c r="AR560" s="9"/>
      <c r="AS560" s="9"/>
      <c r="AT560" s="9"/>
      <c r="AU560" s="9"/>
      <c r="AV560" s="9"/>
      <c r="AW560" s="9"/>
    </row>
    <row r="561" ht="14.2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9"/>
      <c r="AR561" s="9"/>
      <c r="AS561" s="9"/>
      <c r="AT561" s="9"/>
      <c r="AU561" s="9"/>
      <c r="AV561" s="9"/>
      <c r="AW561" s="9"/>
    </row>
    <row r="562" ht="14.2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9"/>
      <c r="AR562" s="9"/>
      <c r="AS562" s="9"/>
      <c r="AT562" s="9"/>
      <c r="AU562" s="9"/>
      <c r="AV562" s="9"/>
      <c r="AW562" s="9"/>
    </row>
    <row r="563" ht="14.2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9"/>
      <c r="AR563" s="9"/>
      <c r="AS563" s="9"/>
      <c r="AT563" s="9"/>
      <c r="AU563" s="9"/>
      <c r="AV563" s="9"/>
      <c r="AW563" s="9"/>
    </row>
    <row r="564" ht="14.2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9"/>
      <c r="AR564" s="9"/>
      <c r="AS564" s="9"/>
      <c r="AT564" s="9"/>
      <c r="AU564" s="9"/>
      <c r="AV564" s="9"/>
      <c r="AW564" s="9"/>
    </row>
    <row r="565" ht="14.2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9"/>
      <c r="AR565" s="9"/>
      <c r="AS565" s="9"/>
      <c r="AT565" s="9"/>
      <c r="AU565" s="9"/>
      <c r="AV565" s="9"/>
      <c r="AW565" s="9"/>
    </row>
    <row r="566" ht="14.2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9"/>
      <c r="AR566" s="9"/>
      <c r="AS566" s="9"/>
      <c r="AT566" s="9"/>
      <c r="AU566" s="9"/>
      <c r="AV566" s="9"/>
      <c r="AW566" s="9"/>
    </row>
    <row r="567" ht="14.2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9"/>
      <c r="AR567" s="9"/>
      <c r="AS567" s="9"/>
      <c r="AT567" s="9"/>
      <c r="AU567" s="9"/>
      <c r="AV567" s="9"/>
      <c r="AW567" s="9"/>
    </row>
    <row r="568" ht="14.2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9"/>
      <c r="AR568" s="9"/>
      <c r="AS568" s="9"/>
      <c r="AT568" s="9"/>
      <c r="AU568" s="9"/>
      <c r="AV568" s="9"/>
      <c r="AW568" s="9"/>
    </row>
    <row r="569" ht="14.2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9"/>
      <c r="AR569" s="9"/>
      <c r="AS569" s="9"/>
      <c r="AT569" s="9"/>
      <c r="AU569" s="9"/>
      <c r="AV569" s="9"/>
      <c r="AW569" s="9"/>
    </row>
    <row r="570" ht="14.2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9"/>
      <c r="AR570" s="9"/>
      <c r="AS570" s="9"/>
      <c r="AT570" s="9"/>
      <c r="AU570" s="9"/>
      <c r="AV570" s="9"/>
      <c r="AW570" s="9"/>
    </row>
    <row r="571" ht="14.2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9"/>
      <c r="AR571" s="9"/>
      <c r="AS571" s="9"/>
      <c r="AT571" s="9"/>
      <c r="AU571" s="9"/>
      <c r="AV571" s="9"/>
      <c r="AW571" s="9"/>
    </row>
    <row r="572" ht="14.2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9"/>
      <c r="AR572" s="9"/>
      <c r="AS572" s="9"/>
      <c r="AT572" s="9"/>
      <c r="AU572" s="9"/>
      <c r="AV572" s="9"/>
      <c r="AW572" s="9"/>
    </row>
    <row r="573" ht="14.2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9"/>
      <c r="AR573" s="9"/>
      <c r="AS573" s="9"/>
      <c r="AT573" s="9"/>
      <c r="AU573" s="9"/>
      <c r="AV573" s="9"/>
      <c r="AW573" s="9"/>
    </row>
    <row r="574" ht="14.2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9"/>
      <c r="AR574" s="9"/>
      <c r="AS574" s="9"/>
      <c r="AT574" s="9"/>
      <c r="AU574" s="9"/>
      <c r="AV574" s="9"/>
      <c r="AW574" s="9"/>
    </row>
    <row r="575" ht="14.2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9"/>
      <c r="AR575" s="9"/>
      <c r="AS575" s="9"/>
      <c r="AT575" s="9"/>
      <c r="AU575" s="9"/>
      <c r="AV575" s="9"/>
      <c r="AW575" s="9"/>
    </row>
    <row r="576" ht="14.2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9"/>
      <c r="AR576" s="9"/>
      <c r="AS576" s="9"/>
      <c r="AT576" s="9"/>
      <c r="AU576" s="9"/>
      <c r="AV576" s="9"/>
      <c r="AW576" s="9"/>
    </row>
    <row r="577" ht="14.2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9"/>
      <c r="AR577" s="9"/>
      <c r="AS577" s="9"/>
      <c r="AT577" s="9"/>
      <c r="AU577" s="9"/>
      <c r="AV577" s="9"/>
      <c r="AW577" s="9"/>
    </row>
    <row r="578" ht="14.2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9"/>
      <c r="AR578" s="9"/>
      <c r="AS578" s="9"/>
      <c r="AT578" s="9"/>
      <c r="AU578" s="9"/>
      <c r="AV578" s="9"/>
      <c r="AW578" s="9"/>
    </row>
    <row r="579" ht="14.2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9"/>
      <c r="AR579" s="9"/>
      <c r="AS579" s="9"/>
      <c r="AT579" s="9"/>
      <c r="AU579" s="9"/>
      <c r="AV579" s="9"/>
      <c r="AW579" s="9"/>
    </row>
    <row r="580" ht="14.2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9"/>
      <c r="AR580" s="9"/>
      <c r="AS580" s="9"/>
      <c r="AT580" s="9"/>
      <c r="AU580" s="9"/>
      <c r="AV580" s="9"/>
      <c r="AW580" s="9"/>
    </row>
    <row r="581" ht="14.2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9"/>
      <c r="AR581" s="9"/>
      <c r="AS581" s="9"/>
      <c r="AT581" s="9"/>
      <c r="AU581" s="9"/>
      <c r="AV581" s="9"/>
      <c r="AW581" s="9"/>
    </row>
    <row r="582" ht="14.2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9"/>
      <c r="AR582" s="9"/>
      <c r="AS582" s="9"/>
      <c r="AT582" s="9"/>
      <c r="AU582" s="9"/>
      <c r="AV582" s="9"/>
      <c r="AW582" s="9"/>
    </row>
    <row r="583" ht="14.2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9"/>
      <c r="AR583" s="9"/>
      <c r="AS583" s="9"/>
      <c r="AT583" s="9"/>
      <c r="AU583" s="9"/>
      <c r="AV583" s="9"/>
      <c r="AW583" s="9"/>
    </row>
    <row r="584" ht="14.2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9"/>
      <c r="AR584" s="9"/>
      <c r="AS584" s="9"/>
      <c r="AT584" s="9"/>
      <c r="AU584" s="9"/>
      <c r="AV584" s="9"/>
      <c r="AW584" s="9"/>
    </row>
    <row r="585" ht="14.2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9"/>
      <c r="AR585" s="9"/>
      <c r="AS585" s="9"/>
      <c r="AT585" s="9"/>
      <c r="AU585" s="9"/>
      <c r="AV585" s="9"/>
      <c r="AW585" s="9"/>
    </row>
    <row r="586" ht="14.2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9"/>
      <c r="AR586" s="9"/>
      <c r="AS586" s="9"/>
      <c r="AT586" s="9"/>
      <c r="AU586" s="9"/>
      <c r="AV586" s="9"/>
      <c r="AW586" s="9"/>
    </row>
    <row r="587" ht="14.2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  <c r="AT587" s="9"/>
      <c r="AU587" s="9"/>
      <c r="AV587" s="9"/>
      <c r="AW587" s="9"/>
    </row>
    <row r="588" ht="14.2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  <c r="AT588" s="9"/>
      <c r="AU588" s="9"/>
      <c r="AV588" s="9"/>
      <c r="AW588" s="9"/>
    </row>
    <row r="589" ht="14.2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  <c r="AT589" s="9"/>
      <c r="AU589" s="9"/>
      <c r="AV589" s="9"/>
      <c r="AW589" s="9"/>
    </row>
    <row r="590" ht="14.2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  <c r="AT590" s="9"/>
      <c r="AU590" s="9"/>
      <c r="AV590" s="9"/>
      <c r="AW590" s="9"/>
    </row>
    <row r="591" ht="14.2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  <c r="AT591" s="9"/>
      <c r="AU591" s="9"/>
      <c r="AV591" s="9"/>
      <c r="AW591" s="9"/>
    </row>
    <row r="592" ht="14.2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  <c r="AT592" s="9"/>
      <c r="AU592" s="9"/>
      <c r="AV592" s="9"/>
      <c r="AW592" s="9"/>
    </row>
    <row r="593" ht="14.2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  <c r="AT593" s="9"/>
      <c r="AU593" s="9"/>
      <c r="AV593" s="9"/>
      <c r="AW593" s="9"/>
    </row>
    <row r="594" ht="14.2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9"/>
      <c r="AR594" s="9"/>
      <c r="AS594" s="9"/>
      <c r="AT594" s="9"/>
      <c r="AU594" s="9"/>
      <c r="AV594" s="9"/>
      <c r="AW594" s="9"/>
    </row>
    <row r="595" ht="14.2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9"/>
      <c r="AR595" s="9"/>
      <c r="AS595" s="9"/>
      <c r="AT595" s="9"/>
      <c r="AU595" s="9"/>
      <c r="AV595" s="9"/>
      <c r="AW595" s="9"/>
    </row>
    <row r="596" ht="14.2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9"/>
      <c r="AR596" s="9"/>
      <c r="AS596" s="9"/>
      <c r="AT596" s="9"/>
      <c r="AU596" s="9"/>
      <c r="AV596" s="9"/>
      <c r="AW596" s="9"/>
    </row>
    <row r="597" ht="14.2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9"/>
      <c r="AR597" s="9"/>
      <c r="AS597" s="9"/>
      <c r="AT597" s="9"/>
      <c r="AU597" s="9"/>
      <c r="AV597" s="9"/>
      <c r="AW597" s="9"/>
    </row>
    <row r="598" ht="14.2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9"/>
      <c r="AR598" s="9"/>
      <c r="AS598" s="9"/>
      <c r="AT598" s="9"/>
      <c r="AU598" s="9"/>
      <c r="AV598" s="9"/>
      <c r="AW598" s="9"/>
    </row>
    <row r="599" ht="14.2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9"/>
      <c r="AR599" s="9"/>
      <c r="AS599" s="9"/>
      <c r="AT599" s="9"/>
      <c r="AU599" s="9"/>
      <c r="AV599" s="9"/>
      <c r="AW599" s="9"/>
    </row>
    <row r="600" ht="14.2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9"/>
      <c r="AR600" s="9"/>
      <c r="AS600" s="9"/>
      <c r="AT600" s="9"/>
      <c r="AU600" s="9"/>
      <c r="AV600" s="9"/>
      <c r="AW600" s="9"/>
    </row>
    <row r="601" ht="14.2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9"/>
      <c r="AR601" s="9"/>
      <c r="AS601" s="9"/>
      <c r="AT601" s="9"/>
      <c r="AU601" s="9"/>
      <c r="AV601" s="9"/>
      <c r="AW601" s="9"/>
    </row>
    <row r="602" ht="14.2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9"/>
      <c r="AR602" s="9"/>
      <c r="AS602" s="9"/>
      <c r="AT602" s="9"/>
      <c r="AU602" s="9"/>
      <c r="AV602" s="9"/>
      <c r="AW602" s="9"/>
    </row>
    <row r="603" ht="14.2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9"/>
      <c r="AR603" s="9"/>
      <c r="AS603" s="9"/>
      <c r="AT603" s="9"/>
      <c r="AU603" s="9"/>
      <c r="AV603" s="9"/>
      <c r="AW603" s="9"/>
    </row>
    <row r="604" ht="14.2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9"/>
      <c r="AR604" s="9"/>
      <c r="AS604" s="9"/>
      <c r="AT604" s="9"/>
      <c r="AU604" s="9"/>
      <c r="AV604" s="9"/>
      <c r="AW604" s="9"/>
    </row>
    <row r="605" ht="14.2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9"/>
      <c r="AR605" s="9"/>
      <c r="AS605" s="9"/>
      <c r="AT605" s="9"/>
      <c r="AU605" s="9"/>
      <c r="AV605" s="9"/>
      <c r="AW605" s="9"/>
    </row>
    <row r="606" ht="14.2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9"/>
      <c r="AR606" s="9"/>
      <c r="AS606" s="9"/>
      <c r="AT606" s="9"/>
      <c r="AU606" s="9"/>
      <c r="AV606" s="9"/>
      <c r="AW606" s="9"/>
    </row>
    <row r="607" ht="14.2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9"/>
      <c r="AR607" s="9"/>
      <c r="AS607" s="9"/>
      <c r="AT607" s="9"/>
      <c r="AU607" s="9"/>
      <c r="AV607" s="9"/>
      <c r="AW607" s="9"/>
    </row>
    <row r="608" ht="14.2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9"/>
      <c r="AR608" s="9"/>
      <c r="AS608" s="9"/>
      <c r="AT608" s="9"/>
      <c r="AU608" s="9"/>
      <c r="AV608" s="9"/>
      <c r="AW608" s="9"/>
    </row>
    <row r="609" ht="14.2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9"/>
      <c r="AR609" s="9"/>
      <c r="AS609" s="9"/>
      <c r="AT609" s="9"/>
      <c r="AU609" s="9"/>
      <c r="AV609" s="9"/>
      <c r="AW609" s="9"/>
    </row>
    <row r="610" ht="14.2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9"/>
      <c r="AR610" s="9"/>
      <c r="AS610" s="9"/>
      <c r="AT610" s="9"/>
      <c r="AU610" s="9"/>
      <c r="AV610" s="9"/>
      <c r="AW610" s="9"/>
    </row>
    <row r="611" ht="14.2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9"/>
      <c r="AR611" s="9"/>
      <c r="AS611" s="9"/>
      <c r="AT611" s="9"/>
      <c r="AU611" s="9"/>
      <c r="AV611" s="9"/>
      <c r="AW611" s="9"/>
    </row>
    <row r="612" ht="14.2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9"/>
      <c r="AR612" s="9"/>
      <c r="AS612" s="9"/>
      <c r="AT612" s="9"/>
      <c r="AU612" s="9"/>
      <c r="AV612" s="9"/>
      <c r="AW612" s="9"/>
    </row>
    <row r="613" ht="14.2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9"/>
      <c r="AR613" s="9"/>
      <c r="AS613" s="9"/>
      <c r="AT613" s="9"/>
      <c r="AU613" s="9"/>
      <c r="AV613" s="9"/>
      <c r="AW613" s="9"/>
    </row>
    <row r="614" ht="14.2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9"/>
      <c r="AR614" s="9"/>
      <c r="AS614" s="9"/>
      <c r="AT614" s="9"/>
      <c r="AU614" s="9"/>
      <c r="AV614" s="9"/>
      <c r="AW614" s="9"/>
    </row>
    <row r="615" ht="14.2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9"/>
      <c r="AR615" s="9"/>
      <c r="AS615" s="9"/>
      <c r="AT615" s="9"/>
      <c r="AU615" s="9"/>
      <c r="AV615" s="9"/>
      <c r="AW615" s="9"/>
    </row>
    <row r="616" ht="14.2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9"/>
      <c r="AR616" s="9"/>
      <c r="AS616" s="9"/>
      <c r="AT616" s="9"/>
      <c r="AU616" s="9"/>
      <c r="AV616" s="9"/>
      <c r="AW616" s="9"/>
    </row>
    <row r="617" ht="14.2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9"/>
      <c r="AR617" s="9"/>
      <c r="AS617" s="9"/>
      <c r="AT617" s="9"/>
      <c r="AU617" s="9"/>
      <c r="AV617" s="9"/>
      <c r="AW617" s="9"/>
    </row>
    <row r="618" ht="14.2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9"/>
      <c r="AR618" s="9"/>
      <c r="AS618" s="9"/>
      <c r="AT618" s="9"/>
      <c r="AU618" s="9"/>
      <c r="AV618" s="9"/>
      <c r="AW618" s="9"/>
    </row>
    <row r="619" ht="14.2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9"/>
      <c r="AR619" s="9"/>
      <c r="AS619" s="9"/>
      <c r="AT619" s="9"/>
      <c r="AU619" s="9"/>
      <c r="AV619" s="9"/>
      <c r="AW619" s="9"/>
    </row>
    <row r="620" ht="14.2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9"/>
      <c r="AR620" s="9"/>
      <c r="AS620" s="9"/>
      <c r="AT620" s="9"/>
      <c r="AU620" s="9"/>
      <c r="AV620" s="9"/>
      <c r="AW620" s="9"/>
    </row>
    <row r="621" ht="14.2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9"/>
      <c r="AR621" s="9"/>
      <c r="AS621" s="9"/>
      <c r="AT621" s="9"/>
      <c r="AU621" s="9"/>
      <c r="AV621" s="9"/>
      <c r="AW621" s="9"/>
    </row>
    <row r="622" ht="14.2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9"/>
      <c r="AR622" s="9"/>
      <c r="AS622" s="9"/>
      <c r="AT622" s="9"/>
      <c r="AU622" s="9"/>
      <c r="AV622" s="9"/>
      <c r="AW622" s="9"/>
    </row>
    <row r="623" ht="14.2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9"/>
      <c r="AR623" s="9"/>
      <c r="AS623" s="9"/>
      <c r="AT623" s="9"/>
      <c r="AU623" s="9"/>
      <c r="AV623" s="9"/>
      <c r="AW623" s="9"/>
    </row>
    <row r="624" ht="14.2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9"/>
      <c r="AR624" s="9"/>
      <c r="AS624" s="9"/>
      <c r="AT624" s="9"/>
      <c r="AU624" s="9"/>
      <c r="AV624" s="9"/>
      <c r="AW624" s="9"/>
    </row>
    <row r="625" ht="14.2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9"/>
      <c r="AR625" s="9"/>
      <c r="AS625" s="9"/>
      <c r="AT625" s="9"/>
      <c r="AU625" s="9"/>
      <c r="AV625" s="9"/>
      <c r="AW625" s="9"/>
    </row>
    <row r="626" ht="14.2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9"/>
      <c r="AR626" s="9"/>
      <c r="AS626" s="9"/>
      <c r="AT626" s="9"/>
      <c r="AU626" s="9"/>
      <c r="AV626" s="9"/>
      <c r="AW626" s="9"/>
    </row>
    <row r="627" ht="14.2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9"/>
      <c r="AR627" s="9"/>
      <c r="AS627" s="9"/>
      <c r="AT627" s="9"/>
      <c r="AU627" s="9"/>
      <c r="AV627" s="9"/>
      <c r="AW627" s="9"/>
    </row>
    <row r="628" ht="14.2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9"/>
      <c r="AR628" s="9"/>
      <c r="AS628" s="9"/>
      <c r="AT628" s="9"/>
      <c r="AU628" s="9"/>
      <c r="AV628" s="9"/>
      <c r="AW628" s="9"/>
    </row>
    <row r="629" ht="14.2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9"/>
      <c r="AR629" s="9"/>
      <c r="AS629" s="9"/>
      <c r="AT629" s="9"/>
      <c r="AU629" s="9"/>
      <c r="AV629" s="9"/>
      <c r="AW629" s="9"/>
    </row>
    <row r="630" ht="14.2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9"/>
      <c r="AR630" s="9"/>
      <c r="AS630" s="9"/>
      <c r="AT630" s="9"/>
      <c r="AU630" s="9"/>
      <c r="AV630" s="9"/>
      <c r="AW630" s="9"/>
    </row>
    <row r="631" ht="14.2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9"/>
      <c r="AR631" s="9"/>
      <c r="AS631" s="9"/>
      <c r="AT631" s="9"/>
      <c r="AU631" s="9"/>
      <c r="AV631" s="9"/>
      <c r="AW631" s="9"/>
    </row>
    <row r="632" ht="14.2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9"/>
      <c r="AR632" s="9"/>
      <c r="AS632" s="9"/>
      <c r="AT632" s="9"/>
      <c r="AU632" s="9"/>
      <c r="AV632" s="9"/>
      <c r="AW632" s="9"/>
    </row>
    <row r="633" ht="14.2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9"/>
      <c r="AR633" s="9"/>
      <c r="AS633" s="9"/>
      <c r="AT633" s="9"/>
      <c r="AU633" s="9"/>
      <c r="AV633" s="9"/>
      <c r="AW633" s="9"/>
    </row>
    <row r="634" ht="14.2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9"/>
      <c r="AR634" s="9"/>
      <c r="AS634" s="9"/>
      <c r="AT634" s="9"/>
      <c r="AU634" s="9"/>
      <c r="AV634" s="9"/>
      <c r="AW634" s="9"/>
    </row>
    <row r="635" ht="14.25" customHeight="1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9"/>
      <c r="AR635" s="9"/>
      <c r="AS635" s="9"/>
      <c r="AT635" s="9"/>
      <c r="AU635" s="9"/>
      <c r="AV635" s="9"/>
      <c r="AW635" s="9"/>
    </row>
    <row r="636" ht="14.25" customHeight="1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9"/>
      <c r="AR636" s="9"/>
      <c r="AS636" s="9"/>
      <c r="AT636" s="9"/>
      <c r="AU636" s="9"/>
      <c r="AV636" s="9"/>
      <c r="AW636" s="9"/>
    </row>
    <row r="637" ht="14.25" customHeight="1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9"/>
      <c r="AR637" s="9"/>
      <c r="AS637" s="9"/>
      <c r="AT637" s="9"/>
      <c r="AU637" s="9"/>
      <c r="AV637" s="9"/>
      <c r="AW637" s="9"/>
    </row>
    <row r="638" ht="14.25" customHeight="1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9"/>
      <c r="AR638" s="9"/>
      <c r="AS638" s="9"/>
      <c r="AT638" s="9"/>
      <c r="AU638" s="9"/>
      <c r="AV638" s="9"/>
      <c r="AW638" s="9"/>
    </row>
    <row r="639" ht="14.25" customHeight="1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9"/>
      <c r="AR639" s="9"/>
      <c r="AS639" s="9"/>
      <c r="AT639" s="9"/>
      <c r="AU639" s="9"/>
      <c r="AV639" s="9"/>
      <c r="AW639" s="9"/>
    </row>
    <row r="640" ht="14.25" customHeight="1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9"/>
      <c r="AR640" s="9"/>
      <c r="AS640" s="9"/>
      <c r="AT640" s="9"/>
      <c r="AU640" s="9"/>
      <c r="AV640" s="9"/>
      <c r="AW640" s="9"/>
    </row>
    <row r="641" ht="14.25" customHeight="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9"/>
      <c r="AR641" s="9"/>
      <c r="AS641" s="9"/>
      <c r="AT641" s="9"/>
      <c r="AU641" s="9"/>
      <c r="AV641" s="9"/>
      <c r="AW641" s="9"/>
    </row>
    <row r="642" ht="14.25" customHeight="1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9"/>
      <c r="AR642" s="9"/>
      <c r="AS642" s="9"/>
      <c r="AT642" s="9"/>
      <c r="AU642" s="9"/>
      <c r="AV642" s="9"/>
      <c r="AW642" s="9"/>
    </row>
    <row r="643" ht="14.25" customHeight="1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9"/>
      <c r="AR643" s="9"/>
      <c r="AS643" s="9"/>
      <c r="AT643" s="9"/>
      <c r="AU643" s="9"/>
      <c r="AV643" s="9"/>
      <c r="AW643" s="9"/>
    </row>
    <row r="644" ht="14.25" customHeight="1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9"/>
      <c r="AR644" s="9"/>
      <c r="AS644" s="9"/>
      <c r="AT644" s="9"/>
      <c r="AU644" s="9"/>
      <c r="AV644" s="9"/>
      <c r="AW644" s="9"/>
    </row>
    <row r="645" ht="14.25" customHeight="1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9"/>
      <c r="AR645" s="9"/>
      <c r="AS645" s="9"/>
      <c r="AT645" s="9"/>
      <c r="AU645" s="9"/>
      <c r="AV645" s="9"/>
      <c r="AW645" s="9"/>
    </row>
    <row r="646" ht="14.25" customHeight="1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9"/>
      <c r="AR646" s="9"/>
      <c r="AS646" s="9"/>
      <c r="AT646" s="9"/>
      <c r="AU646" s="9"/>
      <c r="AV646" s="9"/>
      <c r="AW646" s="9"/>
    </row>
    <row r="647" ht="14.25" customHeight="1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9"/>
      <c r="AR647" s="9"/>
      <c r="AS647" s="9"/>
      <c r="AT647" s="9"/>
      <c r="AU647" s="9"/>
      <c r="AV647" s="9"/>
      <c r="AW647" s="9"/>
    </row>
    <row r="648" ht="14.25" customHeight="1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9"/>
      <c r="AR648" s="9"/>
      <c r="AS648" s="9"/>
      <c r="AT648" s="9"/>
      <c r="AU648" s="9"/>
      <c r="AV648" s="9"/>
      <c r="AW648" s="9"/>
    </row>
    <row r="649" ht="14.25" customHeight="1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9"/>
      <c r="AR649" s="9"/>
      <c r="AS649" s="9"/>
      <c r="AT649" s="9"/>
      <c r="AU649" s="9"/>
      <c r="AV649" s="9"/>
      <c r="AW649" s="9"/>
    </row>
    <row r="650" ht="14.25" customHeight="1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9"/>
      <c r="AR650" s="9"/>
      <c r="AS650" s="9"/>
      <c r="AT650" s="9"/>
      <c r="AU650" s="9"/>
      <c r="AV650" s="9"/>
      <c r="AW650" s="9"/>
    </row>
    <row r="651" ht="14.25" customHeight="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9"/>
      <c r="AR651" s="9"/>
      <c r="AS651" s="9"/>
      <c r="AT651" s="9"/>
      <c r="AU651" s="9"/>
      <c r="AV651" s="9"/>
      <c r="AW651" s="9"/>
    </row>
    <row r="652" ht="14.25" customHeight="1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9"/>
      <c r="AR652" s="9"/>
      <c r="AS652" s="9"/>
      <c r="AT652" s="9"/>
      <c r="AU652" s="9"/>
      <c r="AV652" s="9"/>
      <c r="AW652" s="9"/>
    </row>
    <row r="653" ht="14.25" customHeight="1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9"/>
      <c r="AP653" s="9"/>
      <c r="AQ653" s="9"/>
      <c r="AR653" s="9"/>
      <c r="AS653" s="9"/>
      <c r="AT653" s="9"/>
      <c r="AU653" s="9"/>
      <c r="AV653" s="9"/>
      <c r="AW653" s="9"/>
    </row>
    <row r="654" ht="14.25" customHeight="1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9"/>
      <c r="AR654" s="9"/>
      <c r="AS654" s="9"/>
      <c r="AT654" s="9"/>
      <c r="AU654" s="9"/>
      <c r="AV654" s="9"/>
      <c r="AW654" s="9"/>
    </row>
    <row r="655" ht="14.25" customHeight="1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9"/>
      <c r="AR655" s="9"/>
      <c r="AS655" s="9"/>
      <c r="AT655" s="9"/>
      <c r="AU655" s="9"/>
      <c r="AV655" s="9"/>
      <c r="AW655" s="9"/>
    </row>
    <row r="656" ht="14.25" customHeight="1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9"/>
      <c r="AR656" s="9"/>
      <c r="AS656" s="9"/>
      <c r="AT656" s="9"/>
      <c r="AU656" s="9"/>
      <c r="AV656" s="9"/>
      <c r="AW656" s="9"/>
    </row>
    <row r="657" ht="14.25" customHeight="1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9"/>
      <c r="AR657" s="9"/>
      <c r="AS657" s="9"/>
      <c r="AT657" s="9"/>
      <c r="AU657" s="9"/>
      <c r="AV657" s="9"/>
      <c r="AW657" s="9"/>
    </row>
    <row r="658" ht="14.25" customHeight="1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9"/>
      <c r="AR658" s="9"/>
      <c r="AS658" s="9"/>
      <c r="AT658" s="9"/>
      <c r="AU658" s="9"/>
      <c r="AV658" s="9"/>
      <c r="AW658" s="9"/>
    </row>
    <row r="659" ht="14.25" customHeight="1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9"/>
      <c r="AR659" s="9"/>
      <c r="AS659" s="9"/>
      <c r="AT659" s="9"/>
      <c r="AU659" s="9"/>
      <c r="AV659" s="9"/>
      <c r="AW659" s="9"/>
    </row>
    <row r="660" ht="14.25" customHeight="1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9"/>
      <c r="AR660" s="9"/>
      <c r="AS660" s="9"/>
      <c r="AT660" s="9"/>
      <c r="AU660" s="9"/>
      <c r="AV660" s="9"/>
      <c r="AW660" s="9"/>
    </row>
    <row r="661" ht="14.25" customHeight="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9"/>
      <c r="AR661" s="9"/>
      <c r="AS661" s="9"/>
      <c r="AT661" s="9"/>
      <c r="AU661" s="9"/>
      <c r="AV661" s="9"/>
      <c r="AW661" s="9"/>
    </row>
    <row r="662" ht="14.25" customHeight="1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9"/>
      <c r="AR662" s="9"/>
      <c r="AS662" s="9"/>
      <c r="AT662" s="9"/>
      <c r="AU662" s="9"/>
      <c r="AV662" s="9"/>
      <c r="AW662" s="9"/>
    </row>
    <row r="663" ht="14.25" customHeight="1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9"/>
      <c r="AR663" s="9"/>
      <c r="AS663" s="9"/>
      <c r="AT663" s="9"/>
      <c r="AU663" s="9"/>
      <c r="AV663" s="9"/>
      <c r="AW663" s="9"/>
    </row>
    <row r="664" ht="14.25" customHeight="1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9"/>
      <c r="AR664" s="9"/>
      <c r="AS664" s="9"/>
      <c r="AT664" s="9"/>
      <c r="AU664" s="9"/>
      <c r="AV664" s="9"/>
      <c r="AW664" s="9"/>
    </row>
    <row r="665" ht="14.25" customHeight="1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9"/>
      <c r="AR665" s="9"/>
      <c r="AS665" s="9"/>
      <c r="AT665" s="9"/>
      <c r="AU665" s="9"/>
      <c r="AV665" s="9"/>
      <c r="AW665" s="9"/>
    </row>
    <row r="666" ht="14.25" customHeight="1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9"/>
      <c r="AR666" s="9"/>
      <c r="AS666" s="9"/>
      <c r="AT666" s="9"/>
      <c r="AU666" s="9"/>
      <c r="AV666" s="9"/>
      <c r="AW666" s="9"/>
    </row>
    <row r="667" ht="14.25" customHeight="1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9"/>
      <c r="AR667" s="9"/>
      <c r="AS667" s="9"/>
      <c r="AT667" s="9"/>
      <c r="AU667" s="9"/>
      <c r="AV667" s="9"/>
      <c r="AW667" s="9"/>
    </row>
    <row r="668" ht="14.25" customHeight="1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9"/>
      <c r="AR668" s="9"/>
      <c r="AS668" s="9"/>
      <c r="AT668" s="9"/>
      <c r="AU668" s="9"/>
      <c r="AV668" s="9"/>
      <c r="AW668" s="9"/>
    </row>
    <row r="669" ht="14.25" customHeight="1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9"/>
      <c r="AR669" s="9"/>
      <c r="AS669" s="9"/>
      <c r="AT669" s="9"/>
      <c r="AU669" s="9"/>
      <c r="AV669" s="9"/>
      <c r="AW669" s="9"/>
    </row>
    <row r="670" ht="14.25" customHeight="1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9"/>
      <c r="AR670" s="9"/>
      <c r="AS670" s="9"/>
      <c r="AT670" s="9"/>
      <c r="AU670" s="9"/>
      <c r="AV670" s="9"/>
      <c r="AW670" s="9"/>
    </row>
    <row r="671" ht="14.25" customHeight="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9"/>
      <c r="AR671" s="9"/>
      <c r="AS671" s="9"/>
      <c r="AT671" s="9"/>
      <c r="AU671" s="9"/>
      <c r="AV671" s="9"/>
      <c r="AW671" s="9"/>
    </row>
    <row r="672" ht="14.25" customHeight="1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9"/>
      <c r="AR672" s="9"/>
      <c r="AS672" s="9"/>
      <c r="AT672" s="9"/>
      <c r="AU672" s="9"/>
      <c r="AV672" s="9"/>
      <c r="AW672" s="9"/>
    </row>
    <row r="673" ht="14.25" customHeight="1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9"/>
      <c r="AR673" s="9"/>
      <c r="AS673" s="9"/>
      <c r="AT673" s="9"/>
      <c r="AU673" s="9"/>
      <c r="AV673" s="9"/>
      <c r="AW673" s="9"/>
    </row>
    <row r="674" ht="14.25" customHeight="1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9"/>
      <c r="AR674" s="9"/>
      <c r="AS674" s="9"/>
      <c r="AT674" s="9"/>
      <c r="AU674" s="9"/>
      <c r="AV674" s="9"/>
      <c r="AW674" s="9"/>
    </row>
    <row r="675" ht="14.25" customHeight="1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9"/>
      <c r="AR675" s="9"/>
      <c r="AS675" s="9"/>
      <c r="AT675" s="9"/>
      <c r="AU675" s="9"/>
      <c r="AV675" s="9"/>
      <c r="AW675" s="9"/>
    </row>
    <row r="676" ht="14.25" customHeight="1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9"/>
      <c r="AR676" s="9"/>
      <c r="AS676" s="9"/>
      <c r="AT676" s="9"/>
      <c r="AU676" s="9"/>
      <c r="AV676" s="9"/>
      <c r="AW676" s="9"/>
    </row>
    <row r="677" ht="14.25" customHeight="1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9"/>
      <c r="AR677" s="9"/>
      <c r="AS677" s="9"/>
      <c r="AT677" s="9"/>
      <c r="AU677" s="9"/>
      <c r="AV677" s="9"/>
      <c r="AW677" s="9"/>
    </row>
    <row r="678" ht="14.25" customHeight="1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9"/>
      <c r="AR678" s="9"/>
      <c r="AS678" s="9"/>
      <c r="AT678" s="9"/>
      <c r="AU678" s="9"/>
      <c r="AV678" s="9"/>
      <c r="AW678" s="9"/>
    </row>
    <row r="679" ht="14.25" customHeight="1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9"/>
      <c r="AR679" s="9"/>
      <c r="AS679" s="9"/>
      <c r="AT679" s="9"/>
      <c r="AU679" s="9"/>
      <c r="AV679" s="9"/>
      <c r="AW679" s="9"/>
    </row>
    <row r="680" ht="14.25" customHeight="1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9"/>
      <c r="AR680" s="9"/>
      <c r="AS680" s="9"/>
      <c r="AT680" s="9"/>
      <c r="AU680" s="9"/>
      <c r="AV680" s="9"/>
      <c r="AW680" s="9"/>
    </row>
    <row r="681" ht="14.25" customHeight="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9"/>
      <c r="AR681" s="9"/>
      <c r="AS681" s="9"/>
      <c r="AT681" s="9"/>
      <c r="AU681" s="9"/>
      <c r="AV681" s="9"/>
      <c r="AW681" s="9"/>
    </row>
    <row r="682" ht="14.25" customHeight="1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9"/>
      <c r="AR682" s="9"/>
      <c r="AS682" s="9"/>
      <c r="AT682" s="9"/>
      <c r="AU682" s="9"/>
      <c r="AV682" s="9"/>
      <c r="AW682" s="9"/>
    </row>
    <row r="683" ht="14.25" customHeight="1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9"/>
      <c r="AR683" s="9"/>
      <c r="AS683" s="9"/>
      <c r="AT683" s="9"/>
      <c r="AU683" s="9"/>
      <c r="AV683" s="9"/>
      <c r="AW683" s="9"/>
    </row>
    <row r="684" ht="14.25" customHeight="1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9"/>
      <c r="AR684" s="9"/>
      <c r="AS684" s="9"/>
      <c r="AT684" s="9"/>
      <c r="AU684" s="9"/>
      <c r="AV684" s="9"/>
      <c r="AW684" s="9"/>
    </row>
    <row r="685" ht="14.25" customHeight="1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9"/>
      <c r="AR685" s="9"/>
      <c r="AS685" s="9"/>
      <c r="AT685" s="9"/>
      <c r="AU685" s="9"/>
      <c r="AV685" s="9"/>
      <c r="AW685" s="9"/>
    </row>
    <row r="686" ht="14.25" customHeight="1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9"/>
      <c r="AR686" s="9"/>
      <c r="AS686" s="9"/>
      <c r="AT686" s="9"/>
      <c r="AU686" s="9"/>
      <c r="AV686" s="9"/>
      <c r="AW686" s="9"/>
    </row>
    <row r="687" ht="14.25" customHeight="1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9"/>
      <c r="AR687" s="9"/>
      <c r="AS687" s="9"/>
      <c r="AT687" s="9"/>
      <c r="AU687" s="9"/>
      <c r="AV687" s="9"/>
      <c r="AW687" s="9"/>
    </row>
    <row r="688" ht="14.25" customHeight="1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9"/>
      <c r="AR688" s="9"/>
      <c r="AS688" s="9"/>
      <c r="AT688" s="9"/>
      <c r="AU688" s="9"/>
      <c r="AV688" s="9"/>
      <c r="AW688" s="9"/>
    </row>
    <row r="689" ht="14.25" customHeight="1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9"/>
      <c r="AR689" s="9"/>
      <c r="AS689" s="9"/>
      <c r="AT689" s="9"/>
      <c r="AU689" s="9"/>
      <c r="AV689" s="9"/>
      <c r="AW689" s="9"/>
    </row>
    <row r="690" ht="14.25" customHeight="1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9"/>
      <c r="AR690" s="9"/>
      <c r="AS690" s="9"/>
      <c r="AT690" s="9"/>
      <c r="AU690" s="9"/>
      <c r="AV690" s="9"/>
      <c r="AW690" s="9"/>
    </row>
    <row r="691" ht="14.25" customHeight="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9"/>
      <c r="AR691" s="9"/>
      <c r="AS691" s="9"/>
      <c r="AT691" s="9"/>
      <c r="AU691" s="9"/>
      <c r="AV691" s="9"/>
      <c r="AW691" s="9"/>
    </row>
    <row r="692" ht="14.25" customHeight="1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9"/>
      <c r="AR692" s="9"/>
      <c r="AS692" s="9"/>
      <c r="AT692" s="9"/>
      <c r="AU692" s="9"/>
      <c r="AV692" s="9"/>
      <c r="AW692" s="9"/>
    </row>
    <row r="693" ht="14.25" customHeight="1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9"/>
      <c r="AR693" s="9"/>
      <c r="AS693" s="9"/>
      <c r="AT693" s="9"/>
      <c r="AU693" s="9"/>
      <c r="AV693" s="9"/>
      <c r="AW693" s="9"/>
    </row>
    <row r="694" ht="14.25" customHeight="1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9"/>
      <c r="AR694" s="9"/>
      <c r="AS694" s="9"/>
      <c r="AT694" s="9"/>
      <c r="AU694" s="9"/>
      <c r="AV694" s="9"/>
      <c r="AW694" s="9"/>
    </row>
    <row r="695" ht="14.25" customHeight="1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9"/>
      <c r="AR695" s="9"/>
      <c r="AS695" s="9"/>
      <c r="AT695" s="9"/>
      <c r="AU695" s="9"/>
      <c r="AV695" s="9"/>
      <c r="AW695" s="9"/>
    </row>
    <row r="696" ht="14.25" customHeight="1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9"/>
      <c r="AR696" s="9"/>
      <c r="AS696" s="9"/>
      <c r="AT696" s="9"/>
      <c r="AU696" s="9"/>
      <c r="AV696" s="9"/>
      <c r="AW696" s="9"/>
    </row>
    <row r="697" ht="14.25" customHeight="1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9"/>
      <c r="AR697" s="9"/>
      <c r="AS697" s="9"/>
      <c r="AT697" s="9"/>
      <c r="AU697" s="9"/>
      <c r="AV697" s="9"/>
      <c r="AW697" s="9"/>
    </row>
    <row r="698" ht="14.25" customHeight="1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9"/>
      <c r="AR698" s="9"/>
      <c r="AS698" s="9"/>
      <c r="AT698" s="9"/>
      <c r="AU698" s="9"/>
      <c r="AV698" s="9"/>
      <c r="AW698" s="9"/>
    </row>
    <row r="699" ht="14.25" customHeight="1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9"/>
      <c r="AR699" s="9"/>
      <c r="AS699" s="9"/>
      <c r="AT699" s="9"/>
      <c r="AU699" s="9"/>
      <c r="AV699" s="9"/>
      <c r="AW699" s="9"/>
    </row>
    <row r="700" ht="14.25" customHeight="1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/>
      <c r="AR700" s="9"/>
      <c r="AS700" s="9"/>
      <c r="AT700" s="9"/>
      <c r="AU700" s="9"/>
      <c r="AV700" s="9"/>
      <c r="AW700" s="9"/>
    </row>
    <row r="701" ht="14.25" customHeight="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9"/>
      <c r="AP701" s="9"/>
      <c r="AQ701" s="9"/>
      <c r="AR701" s="9"/>
      <c r="AS701" s="9"/>
      <c r="AT701" s="9"/>
      <c r="AU701" s="9"/>
      <c r="AV701" s="9"/>
      <c r="AW701" s="9"/>
    </row>
    <row r="702" ht="14.25" customHeight="1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9"/>
      <c r="AP702" s="9"/>
      <c r="AQ702" s="9"/>
      <c r="AR702" s="9"/>
      <c r="AS702" s="9"/>
      <c r="AT702" s="9"/>
      <c r="AU702" s="9"/>
      <c r="AV702" s="9"/>
      <c r="AW702" s="9"/>
    </row>
    <row r="703" ht="14.25" customHeight="1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/>
      <c r="AR703" s="9"/>
      <c r="AS703" s="9"/>
      <c r="AT703" s="9"/>
      <c r="AU703" s="9"/>
      <c r="AV703" s="9"/>
      <c r="AW703" s="9"/>
    </row>
    <row r="704" ht="14.25" customHeight="1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9"/>
      <c r="AR704" s="9"/>
      <c r="AS704" s="9"/>
      <c r="AT704" s="9"/>
      <c r="AU704" s="9"/>
      <c r="AV704" s="9"/>
      <c r="AW704" s="9"/>
    </row>
    <row r="705" ht="14.25" customHeight="1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9"/>
      <c r="AR705" s="9"/>
      <c r="AS705" s="9"/>
      <c r="AT705" s="9"/>
      <c r="AU705" s="9"/>
      <c r="AV705" s="9"/>
      <c r="AW705" s="9"/>
    </row>
    <row r="706" ht="14.25" customHeight="1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9"/>
      <c r="AR706" s="9"/>
      <c r="AS706" s="9"/>
      <c r="AT706" s="9"/>
      <c r="AU706" s="9"/>
      <c r="AV706" s="9"/>
      <c r="AW706" s="9"/>
    </row>
    <row r="707" ht="14.25" customHeight="1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9"/>
      <c r="AR707" s="9"/>
      <c r="AS707" s="9"/>
      <c r="AT707" s="9"/>
      <c r="AU707" s="9"/>
      <c r="AV707" s="9"/>
      <c r="AW707" s="9"/>
    </row>
    <row r="708" ht="14.25" customHeight="1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9"/>
      <c r="AR708" s="9"/>
      <c r="AS708" s="9"/>
      <c r="AT708" s="9"/>
      <c r="AU708" s="9"/>
      <c r="AV708" s="9"/>
      <c r="AW708" s="9"/>
    </row>
    <row r="709" ht="14.25" customHeight="1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9"/>
      <c r="AR709" s="9"/>
      <c r="AS709" s="9"/>
      <c r="AT709" s="9"/>
      <c r="AU709" s="9"/>
      <c r="AV709" s="9"/>
      <c r="AW709" s="9"/>
    </row>
    <row r="710" ht="14.25" customHeight="1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  <c r="AO710" s="9"/>
      <c r="AP710" s="9"/>
      <c r="AQ710" s="9"/>
      <c r="AR710" s="9"/>
      <c r="AS710" s="9"/>
      <c r="AT710" s="9"/>
      <c r="AU710" s="9"/>
      <c r="AV710" s="9"/>
      <c r="AW710" s="9"/>
    </row>
    <row r="711" ht="14.25" customHeight="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9"/>
      <c r="AO711" s="9"/>
      <c r="AP711" s="9"/>
      <c r="AQ711" s="9"/>
      <c r="AR711" s="9"/>
      <c r="AS711" s="9"/>
      <c r="AT711" s="9"/>
      <c r="AU711" s="9"/>
      <c r="AV711" s="9"/>
      <c r="AW711" s="9"/>
    </row>
    <row r="712" ht="14.25" customHeight="1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9"/>
      <c r="AM712" s="9"/>
      <c r="AN712" s="9"/>
      <c r="AO712" s="9"/>
      <c r="AP712" s="9"/>
      <c r="AQ712" s="9"/>
      <c r="AR712" s="9"/>
      <c r="AS712" s="9"/>
      <c r="AT712" s="9"/>
      <c r="AU712" s="9"/>
      <c r="AV712" s="9"/>
      <c r="AW712" s="9"/>
    </row>
    <row r="713" ht="14.25" customHeight="1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9"/>
      <c r="AO713" s="9"/>
      <c r="AP713" s="9"/>
      <c r="AQ713" s="9"/>
      <c r="AR713" s="9"/>
      <c r="AS713" s="9"/>
      <c r="AT713" s="9"/>
      <c r="AU713" s="9"/>
      <c r="AV713" s="9"/>
      <c r="AW713" s="9"/>
    </row>
    <row r="714" ht="14.25" customHeight="1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  <c r="AO714" s="9"/>
      <c r="AP714" s="9"/>
      <c r="AQ714" s="9"/>
      <c r="AR714" s="9"/>
      <c r="AS714" s="9"/>
      <c r="AT714" s="9"/>
      <c r="AU714" s="9"/>
      <c r="AV714" s="9"/>
      <c r="AW714" s="9"/>
    </row>
    <row r="715" ht="14.25" customHeight="1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9"/>
      <c r="AM715" s="9"/>
      <c r="AN715" s="9"/>
      <c r="AO715" s="9"/>
      <c r="AP715" s="9"/>
      <c r="AQ715" s="9"/>
      <c r="AR715" s="9"/>
      <c r="AS715" s="9"/>
      <c r="AT715" s="9"/>
      <c r="AU715" s="9"/>
      <c r="AV715" s="9"/>
      <c r="AW715" s="9"/>
    </row>
    <row r="716" ht="14.25" customHeight="1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9"/>
      <c r="AO716" s="9"/>
      <c r="AP716" s="9"/>
      <c r="AQ716" s="9"/>
      <c r="AR716" s="9"/>
      <c r="AS716" s="9"/>
      <c r="AT716" s="9"/>
      <c r="AU716" s="9"/>
      <c r="AV716" s="9"/>
      <c r="AW716" s="9"/>
    </row>
    <row r="717" ht="14.25" customHeight="1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9"/>
      <c r="AS717" s="9"/>
      <c r="AT717" s="9"/>
      <c r="AU717" s="9"/>
      <c r="AV717" s="9"/>
      <c r="AW717" s="9"/>
    </row>
    <row r="718" ht="14.25" customHeight="1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9"/>
      <c r="AP718" s="9"/>
      <c r="AQ718" s="9"/>
      <c r="AR718" s="9"/>
      <c r="AS718" s="9"/>
      <c r="AT718" s="9"/>
      <c r="AU718" s="9"/>
      <c r="AV718" s="9"/>
      <c r="AW718" s="9"/>
    </row>
    <row r="719" ht="14.25" customHeight="1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9"/>
      <c r="AS719" s="9"/>
      <c r="AT719" s="9"/>
      <c r="AU719" s="9"/>
      <c r="AV719" s="9"/>
      <c r="AW719" s="9"/>
    </row>
    <row r="720" ht="14.25" customHeight="1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9"/>
      <c r="AP720" s="9"/>
      <c r="AQ720" s="9"/>
      <c r="AR720" s="9"/>
      <c r="AS720" s="9"/>
      <c r="AT720" s="9"/>
      <c r="AU720" s="9"/>
      <c r="AV720" s="9"/>
      <c r="AW720" s="9"/>
    </row>
    <row r="721" ht="14.25" customHeight="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  <c r="AP721" s="9"/>
      <c r="AQ721" s="9"/>
      <c r="AR721" s="9"/>
      <c r="AS721" s="9"/>
      <c r="AT721" s="9"/>
      <c r="AU721" s="9"/>
      <c r="AV721" s="9"/>
      <c r="AW721" s="9"/>
    </row>
    <row r="722" ht="14.25" customHeight="1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9"/>
      <c r="AS722" s="9"/>
      <c r="AT722" s="9"/>
      <c r="AU722" s="9"/>
      <c r="AV722" s="9"/>
      <c r="AW722" s="9"/>
    </row>
    <row r="723" ht="14.25" customHeight="1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9"/>
      <c r="AP723" s="9"/>
      <c r="AQ723" s="9"/>
      <c r="AR723" s="9"/>
      <c r="AS723" s="9"/>
      <c r="AT723" s="9"/>
      <c r="AU723" s="9"/>
      <c r="AV723" s="9"/>
      <c r="AW723" s="9"/>
    </row>
    <row r="724" ht="14.25" customHeight="1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9"/>
      <c r="AP724" s="9"/>
      <c r="AQ724" s="9"/>
      <c r="AR724" s="9"/>
      <c r="AS724" s="9"/>
      <c r="AT724" s="9"/>
      <c r="AU724" s="9"/>
      <c r="AV724" s="9"/>
      <c r="AW724" s="9"/>
    </row>
    <row r="725" ht="14.25" customHeight="1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9"/>
      <c r="AP725" s="9"/>
      <c r="AQ725" s="9"/>
      <c r="AR725" s="9"/>
      <c r="AS725" s="9"/>
      <c r="AT725" s="9"/>
      <c r="AU725" s="9"/>
      <c r="AV725" s="9"/>
      <c r="AW725" s="9"/>
    </row>
    <row r="726" ht="14.25" customHeight="1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9"/>
      <c r="AP726" s="9"/>
      <c r="AQ726" s="9"/>
      <c r="AR726" s="9"/>
      <c r="AS726" s="9"/>
      <c r="AT726" s="9"/>
      <c r="AU726" s="9"/>
      <c r="AV726" s="9"/>
      <c r="AW726" s="9"/>
    </row>
    <row r="727" ht="14.25" customHeight="1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9"/>
      <c r="AP727" s="9"/>
      <c r="AQ727" s="9"/>
      <c r="AR727" s="9"/>
      <c r="AS727" s="9"/>
      <c r="AT727" s="9"/>
      <c r="AU727" s="9"/>
      <c r="AV727" s="9"/>
      <c r="AW727" s="9"/>
    </row>
    <row r="728" ht="14.25" customHeight="1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  <c r="AP728" s="9"/>
      <c r="AQ728" s="9"/>
      <c r="AR728" s="9"/>
      <c r="AS728" s="9"/>
      <c r="AT728" s="9"/>
      <c r="AU728" s="9"/>
      <c r="AV728" s="9"/>
      <c r="AW728" s="9"/>
    </row>
    <row r="729" ht="14.25" customHeight="1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9"/>
      <c r="AP729" s="9"/>
      <c r="AQ729" s="9"/>
      <c r="AR729" s="9"/>
      <c r="AS729" s="9"/>
      <c r="AT729" s="9"/>
      <c r="AU729" s="9"/>
      <c r="AV729" s="9"/>
      <c r="AW729" s="9"/>
    </row>
    <row r="730" ht="14.25" customHeight="1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  <c r="AP730" s="9"/>
      <c r="AQ730" s="9"/>
      <c r="AR730" s="9"/>
      <c r="AS730" s="9"/>
      <c r="AT730" s="9"/>
      <c r="AU730" s="9"/>
      <c r="AV730" s="9"/>
      <c r="AW730" s="9"/>
    </row>
    <row r="731" ht="14.25" customHeight="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9"/>
      <c r="AS731" s="9"/>
      <c r="AT731" s="9"/>
      <c r="AU731" s="9"/>
      <c r="AV731" s="9"/>
      <c r="AW731" s="9"/>
    </row>
    <row r="732" ht="14.25" customHeight="1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  <c r="AP732" s="9"/>
      <c r="AQ732" s="9"/>
      <c r="AR732" s="9"/>
      <c r="AS732" s="9"/>
      <c r="AT732" s="9"/>
      <c r="AU732" s="9"/>
      <c r="AV732" s="9"/>
      <c r="AW732" s="9"/>
    </row>
    <row r="733" ht="14.25" customHeight="1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  <c r="AP733" s="9"/>
      <c r="AQ733" s="9"/>
      <c r="AR733" s="9"/>
      <c r="AS733" s="9"/>
      <c r="AT733" s="9"/>
      <c r="AU733" s="9"/>
      <c r="AV733" s="9"/>
      <c r="AW733" s="9"/>
    </row>
    <row r="734" ht="14.25" customHeight="1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9"/>
      <c r="AP734" s="9"/>
      <c r="AQ734" s="9"/>
      <c r="AR734" s="9"/>
      <c r="AS734" s="9"/>
      <c r="AT734" s="9"/>
      <c r="AU734" s="9"/>
      <c r="AV734" s="9"/>
      <c r="AW734" s="9"/>
    </row>
    <row r="735" ht="14.25" customHeight="1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9"/>
      <c r="AO735" s="9"/>
      <c r="AP735" s="9"/>
      <c r="AQ735" s="9"/>
      <c r="AR735" s="9"/>
      <c r="AS735" s="9"/>
      <c r="AT735" s="9"/>
      <c r="AU735" s="9"/>
      <c r="AV735" s="9"/>
      <c r="AW735" s="9"/>
    </row>
    <row r="736" ht="14.25" customHeight="1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9"/>
      <c r="AN736" s="9"/>
      <c r="AO736" s="9"/>
      <c r="AP736" s="9"/>
      <c r="AQ736" s="9"/>
      <c r="AR736" s="9"/>
      <c r="AS736" s="9"/>
      <c r="AT736" s="9"/>
      <c r="AU736" s="9"/>
      <c r="AV736" s="9"/>
      <c r="AW736" s="9"/>
    </row>
    <row r="737" ht="14.25" customHeight="1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9"/>
      <c r="AP737" s="9"/>
      <c r="AQ737" s="9"/>
      <c r="AR737" s="9"/>
      <c r="AS737" s="9"/>
      <c r="AT737" s="9"/>
      <c r="AU737" s="9"/>
      <c r="AV737" s="9"/>
      <c r="AW737" s="9"/>
    </row>
    <row r="738" ht="14.25" customHeight="1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9"/>
      <c r="AP738" s="9"/>
      <c r="AQ738" s="9"/>
      <c r="AR738" s="9"/>
      <c r="AS738" s="9"/>
      <c r="AT738" s="9"/>
      <c r="AU738" s="9"/>
      <c r="AV738" s="9"/>
      <c r="AW738" s="9"/>
    </row>
    <row r="739" ht="14.25" customHeight="1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  <c r="AP739" s="9"/>
      <c r="AQ739" s="9"/>
      <c r="AR739" s="9"/>
      <c r="AS739" s="9"/>
      <c r="AT739" s="9"/>
      <c r="AU739" s="9"/>
      <c r="AV739" s="9"/>
      <c r="AW739" s="9"/>
    </row>
    <row r="740" ht="14.25" customHeight="1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9"/>
      <c r="AP740" s="9"/>
      <c r="AQ740" s="9"/>
      <c r="AR740" s="9"/>
      <c r="AS740" s="9"/>
      <c r="AT740" s="9"/>
      <c r="AU740" s="9"/>
      <c r="AV740" s="9"/>
      <c r="AW740" s="9"/>
    </row>
    <row r="741" ht="14.25" customHeight="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  <c r="AT741" s="9"/>
      <c r="AU741" s="9"/>
      <c r="AV741" s="9"/>
      <c r="AW741" s="9"/>
    </row>
    <row r="742" ht="14.25" customHeight="1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  <c r="AP742" s="9"/>
      <c r="AQ742" s="9"/>
      <c r="AR742" s="9"/>
      <c r="AS742" s="9"/>
      <c r="AT742" s="9"/>
      <c r="AU742" s="9"/>
      <c r="AV742" s="9"/>
      <c r="AW742" s="9"/>
    </row>
    <row r="743" ht="14.25" customHeight="1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9"/>
      <c r="AS743" s="9"/>
      <c r="AT743" s="9"/>
      <c r="AU743" s="9"/>
      <c r="AV743" s="9"/>
      <c r="AW743" s="9"/>
    </row>
    <row r="744" ht="14.25" customHeight="1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  <c r="AO744" s="9"/>
      <c r="AP744" s="9"/>
      <c r="AQ744" s="9"/>
      <c r="AR744" s="9"/>
      <c r="AS744" s="9"/>
      <c r="AT744" s="9"/>
      <c r="AU744" s="9"/>
      <c r="AV744" s="9"/>
      <c r="AW744" s="9"/>
    </row>
    <row r="745" ht="14.25" customHeight="1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  <c r="AP745" s="9"/>
      <c r="AQ745" s="9"/>
      <c r="AR745" s="9"/>
      <c r="AS745" s="9"/>
      <c r="AT745" s="9"/>
      <c r="AU745" s="9"/>
      <c r="AV745" s="9"/>
      <c r="AW745" s="9"/>
    </row>
    <row r="746" ht="14.25" customHeight="1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9"/>
      <c r="AP746" s="9"/>
      <c r="AQ746" s="9"/>
      <c r="AR746" s="9"/>
      <c r="AS746" s="9"/>
      <c r="AT746" s="9"/>
      <c r="AU746" s="9"/>
      <c r="AV746" s="9"/>
      <c r="AW746" s="9"/>
    </row>
    <row r="747" ht="14.25" customHeight="1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9"/>
      <c r="AP747" s="9"/>
      <c r="AQ747" s="9"/>
      <c r="AR747" s="9"/>
      <c r="AS747" s="9"/>
      <c r="AT747" s="9"/>
      <c r="AU747" s="9"/>
      <c r="AV747" s="9"/>
      <c r="AW747" s="9"/>
    </row>
    <row r="748" ht="14.25" customHeight="1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9"/>
      <c r="AP748" s="9"/>
      <c r="AQ748" s="9"/>
      <c r="AR748" s="9"/>
      <c r="AS748" s="9"/>
      <c r="AT748" s="9"/>
      <c r="AU748" s="9"/>
      <c r="AV748" s="9"/>
      <c r="AW748" s="9"/>
    </row>
    <row r="749" ht="14.25" customHeight="1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  <c r="AP749" s="9"/>
      <c r="AQ749" s="9"/>
      <c r="AR749" s="9"/>
      <c r="AS749" s="9"/>
      <c r="AT749" s="9"/>
      <c r="AU749" s="9"/>
      <c r="AV749" s="9"/>
      <c r="AW749" s="9"/>
    </row>
    <row r="750" ht="14.25" customHeight="1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  <c r="AO750" s="9"/>
      <c r="AP750" s="9"/>
      <c r="AQ750" s="9"/>
      <c r="AR750" s="9"/>
      <c r="AS750" s="9"/>
      <c r="AT750" s="9"/>
      <c r="AU750" s="9"/>
      <c r="AV750" s="9"/>
      <c r="AW750" s="9"/>
    </row>
    <row r="751" ht="14.25" customHeight="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9"/>
      <c r="AS751" s="9"/>
      <c r="AT751" s="9"/>
      <c r="AU751" s="9"/>
      <c r="AV751" s="9"/>
      <c r="AW751" s="9"/>
    </row>
    <row r="752" ht="14.25" customHeight="1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  <c r="AT752" s="9"/>
      <c r="AU752" s="9"/>
      <c r="AV752" s="9"/>
      <c r="AW752" s="9"/>
    </row>
    <row r="753" ht="14.25" customHeight="1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  <c r="AT753" s="9"/>
      <c r="AU753" s="9"/>
      <c r="AV753" s="9"/>
      <c r="AW753" s="9"/>
    </row>
    <row r="754" ht="14.25" customHeight="1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  <c r="AQ754" s="9"/>
      <c r="AR754" s="9"/>
      <c r="AS754" s="9"/>
      <c r="AT754" s="9"/>
      <c r="AU754" s="9"/>
      <c r="AV754" s="9"/>
      <c r="AW754" s="9"/>
    </row>
    <row r="755" ht="14.25" customHeight="1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9"/>
      <c r="AP755" s="9"/>
      <c r="AQ755" s="9"/>
      <c r="AR755" s="9"/>
      <c r="AS755" s="9"/>
      <c r="AT755" s="9"/>
      <c r="AU755" s="9"/>
      <c r="AV755" s="9"/>
      <c r="AW755" s="9"/>
    </row>
    <row r="756" ht="14.25" customHeight="1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9"/>
      <c r="AN756" s="9"/>
      <c r="AO756" s="9"/>
      <c r="AP756" s="9"/>
      <c r="AQ756" s="9"/>
      <c r="AR756" s="9"/>
      <c r="AS756" s="9"/>
      <c r="AT756" s="9"/>
      <c r="AU756" s="9"/>
      <c r="AV756" s="9"/>
      <c r="AW756" s="9"/>
    </row>
    <row r="757" ht="14.25" customHeight="1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9"/>
      <c r="AO757" s="9"/>
      <c r="AP757" s="9"/>
      <c r="AQ757" s="9"/>
      <c r="AR757" s="9"/>
      <c r="AS757" s="9"/>
      <c r="AT757" s="9"/>
      <c r="AU757" s="9"/>
      <c r="AV757" s="9"/>
      <c r="AW757" s="9"/>
    </row>
    <row r="758" ht="14.25" customHeight="1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9"/>
      <c r="AN758" s="9"/>
      <c r="AO758" s="9"/>
      <c r="AP758" s="9"/>
      <c r="AQ758" s="9"/>
      <c r="AR758" s="9"/>
      <c r="AS758" s="9"/>
      <c r="AT758" s="9"/>
      <c r="AU758" s="9"/>
      <c r="AV758" s="9"/>
      <c r="AW758" s="9"/>
    </row>
    <row r="759" ht="14.25" customHeight="1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9"/>
      <c r="AO759" s="9"/>
      <c r="AP759" s="9"/>
      <c r="AQ759" s="9"/>
      <c r="AR759" s="9"/>
      <c r="AS759" s="9"/>
      <c r="AT759" s="9"/>
      <c r="AU759" s="9"/>
      <c r="AV759" s="9"/>
      <c r="AW759" s="9"/>
    </row>
    <row r="760" ht="14.25" customHeight="1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9"/>
      <c r="AN760" s="9"/>
      <c r="AO760" s="9"/>
      <c r="AP760" s="9"/>
      <c r="AQ760" s="9"/>
      <c r="AR760" s="9"/>
      <c r="AS760" s="9"/>
      <c r="AT760" s="9"/>
      <c r="AU760" s="9"/>
      <c r="AV760" s="9"/>
      <c r="AW760" s="9"/>
    </row>
    <row r="761" ht="14.25" customHeight="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9"/>
      <c r="AO761" s="9"/>
      <c r="AP761" s="9"/>
      <c r="AQ761" s="9"/>
      <c r="AR761" s="9"/>
      <c r="AS761" s="9"/>
      <c r="AT761" s="9"/>
      <c r="AU761" s="9"/>
      <c r="AV761" s="9"/>
      <c r="AW761" s="9"/>
    </row>
    <row r="762" ht="14.25" customHeight="1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  <c r="AO762" s="9"/>
      <c r="AP762" s="9"/>
      <c r="AQ762" s="9"/>
      <c r="AR762" s="9"/>
      <c r="AS762" s="9"/>
      <c r="AT762" s="9"/>
      <c r="AU762" s="9"/>
      <c r="AV762" s="9"/>
      <c r="AW762" s="9"/>
    </row>
    <row r="763" ht="14.25" customHeight="1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9"/>
      <c r="AP763" s="9"/>
      <c r="AQ763" s="9"/>
      <c r="AR763" s="9"/>
      <c r="AS763" s="9"/>
      <c r="AT763" s="9"/>
      <c r="AU763" s="9"/>
      <c r="AV763" s="9"/>
      <c r="AW763" s="9"/>
    </row>
    <row r="764" ht="14.25" customHeight="1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  <c r="AP764" s="9"/>
      <c r="AQ764" s="9"/>
      <c r="AR764" s="9"/>
      <c r="AS764" s="9"/>
      <c r="AT764" s="9"/>
      <c r="AU764" s="9"/>
      <c r="AV764" s="9"/>
      <c r="AW764" s="9"/>
    </row>
    <row r="765" ht="14.25" customHeight="1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  <c r="AO765" s="9"/>
      <c r="AP765" s="9"/>
      <c r="AQ765" s="9"/>
      <c r="AR765" s="9"/>
      <c r="AS765" s="9"/>
      <c r="AT765" s="9"/>
      <c r="AU765" s="9"/>
      <c r="AV765" s="9"/>
      <c r="AW765" s="9"/>
    </row>
    <row r="766" ht="14.25" customHeight="1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  <c r="AP766" s="9"/>
      <c r="AQ766" s="9"/>
      <c r="AR766" s="9"/>
      <c r="AS766" s="9"/>
      <c r="AT766" s="9"/>
      <c r="AU766" s="9"/>
      <c r="AV766" s="9"/>
      <c r="AW766" s="9"/>
    </row>
    <row r="767" ht="14.25" customHeight="1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  <c r="AP767" s="9"/>
      <c r="AQ767" s="9"/>
      <c r="AR767" s="9"/>
      <c r="AS767" s="9"/>
      <c r="AT767" s="9"/>
      <c r="AU767" s="9"/>
      <c r="AV767" s="9"/>
      <c r="AW767" s="9"/>
    </row>
    <row r="768" ht="14.25" customHeight="1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  <c r="AO768" s="9"/>
      <c r="AP768" s="9"/>
      <c r="AQ768" s="9"/>
      <c r="AR768" s="9"/>
      <c r="AS768" s="9"/>
      <c r="AT768" s="9"/>
      <c r="AU768" s="9"/>
      <c r="AV768" s="9"/>
      <c r="AW768" s="9"/>
    </row>
    <row r="769" ht="14.25" customHeight="1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  <c r="AP769" s="9"/>
      <c r="AQ769" s="9"/>
      <c r="AR769" s="9"/>
      <c r="AS769" s="9"/>
      <c r="AT769" s="9"/>
      <c r="AU769" s="9"/>
      <c r="AV769" s="9"/>
      <c r="AW769" s="9"/>
    </row>
    <row r="770" ht="14.25" customHeight="1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  <c r="AP770" s="9"/>
      <c r="AQ770" s="9"/>
      <c r="AR770" s="9"/>
      <c r="AS770" s="9"/>
      <c r="AT770" s="9"/>
      <c r="AU770" s="9"/>
      <c r="AV770" s="9"/>
      <c r="AW770" s="9"/>
    </row>
    <row r="771" ht="14.25" customHeight="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9"/>
      <c r="AP771" s="9"/>
      <c r="AQ771" s="9"/>
      <c r="AR771" s="9"/>
      <c r="AS771" s="9"/>
      <c r="AT771" s="9"/>
      <c r="AU771" s="9"/>
      <c r="AV771" s="9"/>
      <c r="AW771" s="9"/>
    </row>
    <row r="772" ht="14.25" customHeight="1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9"/>
      <c r="AP772" s="9"/>
      <c r="AQ772" s="9"/>
      <c r="AR772" s="9"/>
      <c r="AS772" s="9"/>
      <c r="AT772" s="9"/>
      <c r="AU772" s="9"/>
      <c r="AV772" s="9"/>
      <c r="AW772" s="9"/>
    </row>
    <row r="773" ht="14.25" customHeight="1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  <c r="AO773" s="9"/>
      <c r="AP773" s="9"/>
      <c r="AQ773" s="9"/>
      <c r="AR773" s="9"/>
      <c r="AS773" s="9"/>
      <c r="AT773" s="9"/>
      <c r="AU773" s="9"/>
      <c r="AV773" s="9"/>
      <c r="AW773" s="9"/>
    </row>
    <row r="774" ht="14.25" customHeight="1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9"/>
      <c r="AO774" s="9"/>
      <c r="AP774" s="9"/>
      <c r="AQ774" s="9"/>
      <c r="AR774" s="9"/>
      <c r="AS774" s="9"/>
      <c r="AT774" s="9"/>
      <c r="AU774" s="9"/>
      <c r="AV774" s="9"/>
      <c r="AW774" s="9"/>
    </row>
    <row r="775" ht="14.25" customHeight="1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  <c r="AP775" s="9"/>
      <c r="AQ775" s="9"/>
      <c r="AR775" s="9"/>
      <c r="AS775" s="9"/>
      <c r="AT775" s="9"/>
      <c r="AU775" s="9"/>
      <c r="AV775" s="9"/>
      <c r="AW775" s="9"/>
    </row>
    <row r="776" ht="14.25" customHeight="1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9"/>
      <c r="AP776" s="9"/>
      <c r="AQ776" s="9"/>
      <c r="AR776" s="9"/>
      <c r="AS776" s="9"/>
      <c r="AT776" s="9"/>
      <c r="AU776" s="9"/>
      <c r="AV776" s="9"/>
      <c r="AW776" s="9"/>
    </row>
    <row r="777" ht="14.25" customHeight="1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9"/>
      <c r="AP777" s="9"/>
      <c r="AQ777" s="9"/>
      <c r="AR777" s="9"/>
      <c r="AS777" s="9"/>
      <c r="AT777" s="9"/>
      <c r="AU777" s="9"/>
      <c r="AV777" s="9"/>
      <c r="AW777" s="9"/>
    </row>
    <row r="778" ht="14.25" customHeight="1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9"/>
      <c r="AN778" s="9"/>
      <c r="AO778" s="9"/>
      <c r="AP778" s="9"/>
      <c r="AQ778" s="9"/>
      <c r="AR778" s="9"/>
      <c r="AS778" s="9"/>
      <c r="AT778" s="9"/>
      <c r="AU778" s="9"/>
      <c r="AV778" s="9"/>
      <c r="AW778" s="9"/>
    </row>
    <row r="779" ht="14.25" customHeight="1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9"/>
      <c r="AO779" s="9"/>
      <c r="AP779" s="9"/>
      <c r="AQ779" s="9"/>
      <c r="AR779" s="9"/>
      <c r="AS779" s="9"/>
      <c r="AT779" s="9"/>
      <c r="AU779" s="9"/>
      <c r="AV779" s="9"/>
      <c r="AW779" s="9"/>
    </row>
    <row r="780" ht="14.25" customHeight="1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9"/>
      <c r="AN780" s="9"/>
      <c r="AO780" s="9"/>
      <c r="AP780" s="9"/>
      <c r="AQ780" s="9"/>
      <c r="AR780" s="9"/>
      <c r="AS780" s="9"/>
      <c r="AT780" s="9"/>
      <c r="AU780" s="9"/>
      <c r="AV780" s="9"/>
      <c r="AW780" s="9"/>
    </row>
    <row r="781" ht="14.25" customHeight="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9"/>
      <c r="AP781" s="9"/>
      <c r="AQ781" s="9"/>
      <c r="AR781" s="9"/>
      <c r="AS781" s="9"/>
      <c r="AT781" s="9"/>
      <c r="AU781" s="9"/>
      <c r="AV781" s="9"/>
      <c r="AW781" s="9"/>
    </row>
    <row r="782" ht="14.25" customHeight="1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9"/>
      <c r="AO782" s="9"/>
      <c r="AP782" s="9"/>
      <c r="AQ782" s="9"/>
      <c r="AR782" s="9"/>
      <c r="AS782" s="9"/>
      <c r="AT782" s="9"/>
      <c r="AU782" s="9"/>
      <c r="AV782" s="9"/>
      <c r="AW782" s="9"/>
    </row>
    <row r="783" ht="14.25" customHeight="1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9"/>
      <c r="AS783" s="9"/>
      <c r="AT783" s="9"/>
      <c r="AU783" s="9"/>
      <c r="AV783" s="9"/>
      <c r="AW783" s="9"/>
    </row>
    <row r="784" ht="14.25" customHeight="1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  <c r="AQ784" s="9"/>
      <c r="AR784" s="9"/>
      <c r="AS784" s="9"/>
      <c r="AT784" s="9"/>
      <c r="AU784" s="9"/>
      <c r="AV784" s="9"/>
      <c r="AW784" s="9"/>
    </row>
    <row r="785" ht="14.25" customHeight="1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  <c r="AQ785" s="9"/>
      <c r="AR785" s="9"/>
      <c r="AS785" s="9"/>
      <c r="AT785" s="9"/>
      <c r="AU785" s="9"/>
      <c r="AV785" s="9"/>
      <c r="AW785" s="9"/>
    </row>
    <row r="786" ht="14.25" customHeight="1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  <c r="AO786" s="9"/>
      <c r="AP786" s="9"/>
      <c r="AQ786" s="9"/>
      <c r="AR786" s="9"/>
      <c r="AS786" s="9"/>
      <c r="AT786" s="9"/>
      <c r="AU786" s="9"/>
      <c r="AV786" s="9"/>
      <c r="AW786" s="9"/>
    </row>
    <row r="787" ht="14.25" customHeight="1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9"/>
      <c r="AP787" s="9"/>
      <c r="AQ787" s="9"/>
      <c r="AR787" s="9"/>
      <c r="AS787" s="9"/>
      <c r="AT787" s="9"/>
      <c r="AU787" s="9"/>
      <c r="AV787" s="9"/>
      <c r="AW787" s="9"/>
    </row>
    <row r="788" ht="14.25" customHeight="1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  <c r="AQ788" s="9"/>
      <c r="AR788" s="9"/>
      <c r="AS788" s="9"/>
      <c r="AT788" s="9"/>
      <c r="AU788" s="9"/>
      <c r="AV788" s="9"/>
      <c r="AW788" s="9"/>
    </row>
    <row r="789" ht="14.25" customHeight="1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  <c r="AP789" s="9"/>
      <c r="AQ789" s="9"/>
      <c r="AR789" s="9"/>
      <c r="AS789" s="9"/>
      <c r="AT789" s="9"/>
      <c r="AU789" s="9"/>
      <c r="AV789" s="9"/>
      <c r="AW789" s="9"/>
    </row>
    <row r="790" ht="14.25" customHeight="1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9"/>
      <c r="AP790" s="9"/>
      <c r="AQ790" s="9"/>
      <c r="AR790" s="9"/>
      <c r="AS790" s="9"/>
      <c r="AT790" s="9"/>
      <c r="AU790" s="9"/>
      <c r="AV790" s="9"/>
      <c r="AW790" s="9"/>
    </row>
    <row r="791" ht="14.25" customHeight="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9"/>
      <c r="AP791" s="9"/>
      <c r="AQ791" s="9"/>
      <c r="AR791" s="9"/>
      <c r="AS791" s="9"/>
      <c r="AT791" s="9"/>
      <c r="AU791" s="9"/>
      <c r="AV791" s="9"/>
      <c r="AW791" s="9"/>
    </row>
    <row r="792" ht="14.25" customHeight="1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9"/>
      <c r="AP792" s="9"/>
      <c r="AQ792" s="9"/>
      <c r="AR792" s="9"/>
      <c r="AS792" s="9"/>
      <c r="AT792" s="9"/>
      <c r="AU792" s="9"/>
      <c r="AV792" s="9"/>
      <c r="AW792" s="9"/>
    </row>
    <row r="793" ht="14.25" customHeight="1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9"/>
      <c r="AP793" s="9"/>
      <c r="AQ793" s="9"/>
      <c r="AR793" s="9"/>
      <c r="AS793" s="9"/>
      <c r="AT793" s="9"/>
      <c r="AU793" s="9"/>
      <c r="AV793" s="9"/>
      <c r="AW793" s="9"/>
    </row>
    <row r="794" ht="14.25" customHeight="1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  <c r="AO794" s="9"/>
      <c r="AP794" s="9"/>
      <c r="AQ794" s="9"/>
      <c r="AR794" s="9"/>
      <c r="AS794" s="9"/>
      <c r="AT794" s="9"/>
      <c r="AU794" s="9"/>
      <c r="AV794" s="9"/>
      <c r="AW794" s="9"/>
    </row>
    <row r="795" ht="14.25" customHeight="1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  <c r="AO795" s="9"/>
      <c r="AP795" s="9"/>
      <c r="AQ795" s="9"/>
      <c r="AR795" s="9"/>
      <c r="AS795" s="9"/>
      <c r="AT795" s="9"/>
      <c r="AU795" s="9"/>
      <c r="AV795" s="9"/>
      <c r="AW795" s="9"/>
    </row>
    <row r="796" ht="14.25" customHeight="1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9"/>
      <c r="AO796" s="9"/>
      <c r="AP796" s="9"/>
      <c r="AQ796" s="9"/>
      <c r="AR796" s="9"/>
      <c r="AS796" s="9"/>
      <c r="AT796" s="9"/>
      <c r="AU796" s="9"/>
      <c r="AV796" s="9"/>
      <c r="AW796" s="9"/>
    </row>
    <row r="797" ht="14.25" customHeight="1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9"/>
      <c r="AN797" s="9"/>
      <c r="AO797" s="9"/>
      <c r="AP797" s="9"/>
      <c r="AQ797" s="9"/>
      <c r="AR797" s="9"/>
      <c r="AS797" s="9"/>
      <c r="AT797" s="9"/>
      <c r="AU797" s="9"/>
      <c r="AV797" s="9"/>
      <c r="AW797" s="9"/>
    </row>
    <row r="798" ht="14.25" customHeight="1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  <c r="AO798" s="9"/>
      <c r="AP798" s="9"/>
      <c r="AQ798" s="9"/>
      <c r="AR798" s="9"/>
      <c r="AS798" s="9"/>
      <c r="AT798" s="9"/>
      <c r="AU798" s="9"/>
      <c r="AV798" s="9"/>
      <c r="AW798" s="9"/>
    </row>
    <row r="799" ht="14.25" customHeight="1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  <c r="AO799" s="9"/>
      <c r="AP799" s="9"/>
      <c r="AQ799" s="9"/>
      <c r="AR799" s="9"/>
      <c r="AS799" s="9"/>
      <c r="AT799" s="9"/>
      <c r="AU799" s="9"/>
      <c r="AV799" s="9"/>
      <c r="AW799" s="9"/>
    </row>
    <row r="800" ht="14.25" customHeight="1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9"/>
      <c r="AP800" s="9"/>
      <c r="AQ800" s="9"/>
      <c r="AR800" s="9"/>
      <c r="AS800" s="9"/>
      <c r="AT800" s="9"/>
      <c r="AU800" s="9"/>
      <c r="AV800" s="9"/>
      <c r="AW800" s="9"/>
    </row>
    <row r="801" ht="14.25" customHeight="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  <c r="AP801" s="9"/>
      <c r="AQ801" s="9"/>
      <c r="AR801" s="9"/>
      <c r="AS801" s="9"/>
      <c r="AT801" s="9"/>
      <c r="AU801" s="9"/>
      <c r="AV801" s="9"/>
      <c r="AW801" s="9"/>
    </row>
    <row r="802" ht="14.25" customHeight="1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  <c r="AO802" s="9"/>
      <c r="AP802" s="9"/>
      <c r="AQ802" s="9"/>
      <c r="AR802" s="9"/>
      <c r="AS802" s="9"/>
      <c r="AT802" s="9"/>
      <c r="AU802" s="9"/>
      <c r="AV802" s="9"/>
      <c r="AW802" s="9"/>
    </row>
    <row r="803" ht="14.25" customHeight="1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  <c r="AO803" s="9"/>
      <c r="AP803" s="9"/>
      <c r="AQ803" s="9"/>
      <c r="AR803" s="9"/>
      <c r="AS803" s="9"/>
      <c r="AT803" s="9"/>
      <c r="AU803" s="9"/>
      <c r="AV803" s="9"/>
      <c r="AW803" s="9"/>
    </row>
    <row r="804" ht="14.25" customHeight="1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  <c r="AO804" s="9"/>
      <c r="AP804" s="9"/>
      <c r="AQ804" s="9"/>
      <c r="AR804" s="9"/>
      <c r="AS804" s="9"/>
      <c r="AT804" s="9"/>
      <c r="AU804" s="9"/>
      <c r="AV804" s="9"/>
      <c r="AW804" s="9"/>
    </row>
    <row r="805" ht="14.25" customHeight="1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  <c r="AO805" s="9"/>
      <c r="AP805" s="9"/>
      <c r="AQ805" s="9"/>
      <c r="AR805" s="9"/>
      <c r="AS805" s="9"/>
      <c r="AT805" s="9"/>
      <c r="AU805" s="9"/>
      <c r="AV805" s="9"/>
      <c r="AW805" s="9"/>
    </row>
    <row r="806" ht="14.25" customHeight="1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  <c r="AO806" s="9"/>
      <c r="AP806" s="9"/>
      <c r="AQ806" s="9"/>
      <c r="AR806" s="9"/>
      <c r="AS806" s="9"/>
      <c r="AT806" s="9"/>
      <c r="AU806" s="9"/>
      <c r="AV806" s="9"/>
      <c r="AW806" s="9"/>
    </row>
    <row r="807" ht="14.25" customHeight="1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  <c r="AP807" s="9"/>
      <c r="AQ807" s="9"/>
      <c r="AR807" s="9"/>
      <c r="AS807" s="9"/>
      <c r="AT807" s="9"/>
      <c r="AU807" s="9"/>
      <c r="AV807" s="9"/>
      <c r="AW807" s="9"/>
    </row>
    <row r="808" ht="14.25" customHeight="1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  <c r="AO808" s="9"/>
      <c r="AP808" s="9"/>
      <c r="AQ808" s="9"/>
      <c r="AR808" s="9"/>
      <c r="AS808" s="9"/>
      <c r="AT808" s="9"/>
      <c r="AU808" s="9"/>
      <c r="AV808" s="9"/>
      <c r="AW808" s="9"/>
    </row>
    <row r="809" ht="14.25" customHeight="1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9"/>
      <c r="AP809" s="9"/>
      <c r="AQ809" s="9"/>
      <c r="AR809" s="9"/>
      <c r="AS809" s="9"/>
      <c r="AT809" s="9"/>
      <c r="AU809" s="9"/>
      <c r="AV809" s="9"/>
      <c r="AW809" s="9"/>
    </row>
    <row r="810" ht="14.25" customHeight="1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9"/>
      <c r="AP810" s="9"/>
      <c r="AQ810" s="9"/>
      <c r="AR810" s="9"/>
      <c r="AS810" s="9"/>
      <c r="AT810" s="9"/>
      <c r="AU810" s="9"/>
      <c r="AV810" s="9"/>
      <c r="AW810" s="9"/>
    </row>
    <row r="811" ht="14.25" customHeight="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  <c r="AP811" s="9"/>
      <c r="AQ811" s="9"/>
      <c r="AR811" s="9"/>
      <c r="AS811" s="9"/>
      <c r="AT811" s="9"/>
      <c r="AU811" s="9"/>
      <c r="AV811" s="9"/>
      <c r="AW811" s="9"/>
    </row>
    <row r="812" ht="14.25" customHeight="1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9"/>
      <c r="AP812" s="9"/>
      <c r="AQ812" s="9"/>
      <c r="AR812" s="9"/>
      <c r="AS812" s="9"/>
      <c r="AT812" s="9"/>
      <c r="AU812" s="9"/>
      <c r="AV812" s="9"/>
      <c r="AW812" s="9"/>
    </row>
    <row r="813" ht="14.25" customHeight="1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9"/>
      <c r="AP813" s="9"/>
      <c r="AQ813" s="9"/>
      <c r="AR813" s="9"/>
      <c r="AS813" s="9"/>
      <c r="AT813" s="9"/>
      <c r="AU813" s="9"/>
      <c r="AV813" s="9"/>
      <c r="AW813" s="9"/>
    </row>
    <row r="814" ht="14.25" customHeight="1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9"/>
      <c r="AP814" s="9"/>
      <c r="AQ814" s="9"/>
      <c r="AR814" s="9"/>
      <c r="AS814" s="9"/>
      <c r="AT814" s="9"/>
      <c r="AU814" s="9"/>
      <c r="AV814" s="9"/>
      <c r="AW814" s="9"/>
    </row>
    <row r="815" ht="14.25" customHeight="1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9"/>
      <c r="AP815" s="9"/>
      <c r="AQ815" s="9"/>
      <c r="AR815" s="9"/>
      <c r="AS815" s="9"/>
      <c r="AT815" s="9"/>
      <c r="AU815" s="9"/>
      <c r="AV815" s="9"/>
      <c r="AW815" s="9"/>
    </row>
    <row r="816" ht="14.25" customHeight="1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9"/>
      <c r="AP816" s="9"/>
      <c r="AQ816" s="9"/>
      <c r="AR816" s="9"/>
      <c r="AS816" s="9"/>
      <c r="AT816" s="9"/>
      <c r="AU816" s="9"/>
      <c r="AV816" s="9"/>
      <c r="AW816" s="9"/>
    </row>
    <row r="817" ht="14.25" customHeight="1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9"/>
      <c r="AP817" s="9"/>
      <c r="AQ817" s="9"/>
      <c r="AR817" s="9"/>
      <c r="AS817" s="9"/>
      <c r="AT817" s="9"/>
      <c r="AU817" s="9"/>
      <c r="AV817" s="9"/>
      <c r="AW817" s="9"/>
    </row>
    <row r="818" ht="14.25" customHeight="1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  <c r="AO818" s="9"/>
      <c r="AP818" s="9"/>
      <c r="AQ818" s="9"/>
      <c r="AR818" s="9"/>
      <c r="AS818" s="9"/>
      <c r="AT818" s="9"/>
      <c r="AU818" s="9"/>
      <c r="AV818" s="9"/>
      <c r="AW818" s="9"/>
    </row>
    <row r="819" ht="14.25" customHeight="1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  <c r="AO819" s="9"/>
      <c r="AP819" s="9"/>
      <c r="AQ819" s="9"/>
      <c r="AR819" s="9"/>
      <c r="AS819" s="9"/>
      <c r="AT819" s="9"/>
      <c r="AU819" s="9"/>
      <c r="AV819" s="9"/>
      <c r="AW819" s="9"/>
    </row>
    <row r="820" ht="14.25" customHeight="1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  <c r="AP820" s="9"/>
      <c r="AQ820" s="9"/>
      <c r="AR820" s="9"/>
      <c r="AS820" s="9"/>
      <c r="AT820" s="9"/>
      <c r="AU820" s="9"/>
      <c r="AV820" s="9"/>
      <c r="AW820" s="9"/>
    </row>
    <row r="821" ht="14.25" customHeight="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  <c r="AO821" s="9"/>
      <c r="AP821" s="9"/>
      <c r="AQ821" s="9"/>
      <c r="AR821" s="9"/>
      <c r="AS821" s="9"/>
      <c r="AT821" s="9"/>
      <c r="AU821" s="9"/>
      <c r="AV821" s="9"/>
      <c r="AW821" s="9"/>
    </row>
    <row r="822" ht="14.25" customHeight="1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  <c r="AO822" s="9"/>
      <c r="AP822" s="9"/>
      <c r="AQ822" s="9"/>
      <c r="AR822" s="9"/>
      <c r="AS822" s="9"/>
      <c r="AT822" s="9"/>
      <c r="AU822" s="9"/>
      <c r="AV822" s="9"/>
      <c r="AW822" s="9"/>
    </row>
    <row r="823" ht="14.25" customHeight="1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  <c r="AO823" s="9"/>
      <c r="AP823" s="9"/>
      <c r="AQ823" s="9"/>
      <c r="AR823" s="9"/>
      <c r="AS823" s="9"/>
      <c r="AT823" s="9"/>
      <c r="AU823" s="9"/>
      <c r="AV823" s="9"/>
      <c r="AW823" s="9"/>
    </row>
    <row r="824" ht="14.25" customHeight="1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9"/>
      <c r="AP824" s="9"/>
      <c r="AQ824" s="9"/>
      <c r="AR824" s="9"/>
      <c r="AS824" s="9"/>
      <c r="AT824" s="9"/>
      <c r="AU824" s="9"/>
      <c r="AV824" s="9"/>
      <c r="AW824" s="9"/>
    </row>
    <row r="825" ht="14.25" customHeight="1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  <c r="AO825" s="9"/>
      <c r="AP825" s="9"/>
      <c r="AQ825" s="9"/>
      <c r="AR825" s="9"/>
      <c r="AS825" s="9"/>
      <c r="AT825" s="9"/>
      <c r="AU825" s="9"/>
      <c r="AV825" s="9"/>
      <c r="AW825" s="9"/>
    </row>
    <row r="826" ht="14.25" customHeight="1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  <c r="AO826" s="9"/>
      <c r="AP826" s="9"/>
      <c r="AQ826" s="9"/>
      <c r="AR826" s="9"/>
      <c r="AS826" s="9"/>
      <c r="AT826" s="9"/>
      <c r="AU826" s="9"/>
      <c r="AV826" s="9"/>
      <c r="AW826" s="9"/>
    </row>
    <row r="827" ht="14.25" customHeight="1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  <c r="AO827" s="9"/>
      <c r="AP827" s="9"/>
      <c r="AQ827" s="9"/>
      <c r="AR827" s="9"/>
      <c r="AS827" s="9"/>
      <c r="AT827" s="9"/>
      <c r="AU827" s="9"/>
      <c r="AV827" s="9"/>
      <c r="AW827" s="9"/>
    </row>
    <row r="828" ht="14.25" customHeight="1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  <c r="AO828" s="9"/>
      <c r="AP828" s="9"/>
      <c r="AQ828" s="9"/>
      <c r="AR828" s="9"/>
      <c r="AS828" s="9"/>
      <c r="AT828" s="9"/>
      <c r="AU828" s="9"/>
      <c r="AV828" s="9"/>
      <c r="AW828" s="9"/>
    </row>
    <row r="829" ht="14.25" customHeight="1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  <c r="AO829" s="9"/>
      <c r="AP829" s="9"/>
      <c r="AQ829" s="9"/>
      <c r="AR829" s="9"/>
      <c r="AS829" s="9"/>
      <c r="AT829" s="9"/>
      <c r="AU829" s="9"/>
      <c r="AV829" s="9"/>
      <c r="AW829" s="9"/>
    </row>
    <row r="830" ht="14.25" customHeight="1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  <c r="AO830" s="9"/>
      <c r="AP830" s="9"/>
      <c r="AQ830" s="9"/>
      <c r="AR830" s="9"/>
      <c r="AS830" s="9"/>
      <c r="AT830" s="9"/>
      <c r="AU830" s="9"/>
      <c r="AV830" s="9"/>
      <c r="AW830" s="9"/>
    </row>
    <row r="831" ht="14.25" customHeight="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  <c r="AP831" s="9"/>
      <c r="AQ831" s="9"/>
      <c r="AR831" s="9"/>
      <c r="AS831" s="9"/>
      <c r="AT831" s="9"/>
      <c r="AU831" s="9"/>
      <c r="AV831" s="9"/>
      <c r="AW831" s="9"/>
    </row>
    <row r="832" ht="14.25" customHeight="1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9"/>
      <c r="AP832" s="9"/>
      <c r="AQ832" s="9"/>
      <c r="AR832" s="9"/>
      <c r="AS832" s="9"/>
      <c r="AT832" s="9"/>
      <c r="AU832" s="9"/>
      <c r="AV832" s="9"/>
      <c r="AW832" s="9"/>
    </row>
    <row r="833" ht="14.25" customHeight="1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9"/>
      <c r="AP833" s="9"/>
      <c r="AQ833" s="9"/>
      <c r="AR833" s="9"/>
      <c r="AS833" s="9"/>
      <c r="AT833" s="9"/>
      <c r="AU833" s="9"/>
      <c r="AV833" s="9"/>
      <c r="AW833" s="9"/>
    </row>
    <row r="834" ht="14.25" customHeight="1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  <c r="AP834" s="9"/>
      <c r="AQ834" s="9"/>
      <c r="AR834" s="9"/>
      <c r="AS834" s="9"/>
      <c r="AT834" s="9"/>
      <c r="AU834" s="9"/>
      <c r="AV834" s="9"/>
      <c r="AW834" s="9"/>
    </row>
    <row r="835" ht="14.25" customHeight="1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9"/>
      <c r="AP835" s="9"/>
      <c r="AQ835" s="9"/>
      <c r="AR835" s="9"/>
      <c r="AS835" s="9"/>
      <c r="AT835" s="9"/>
      <c r="AU835" s="9"/>
      <c r="AV835" s="9"/>
      <c r="AW835" s="9"/>
    </row>
    <row r="836" ht="14.25" customHeight="1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  <c r="AP836" s="9"/>
      <c r="AQ836" s="9"/>
      <c r="AR836" s="9"/>
      <c r="AS836" s="9"/>
      <c r="AT836" s="9"/>
      <c r="AU836" s="9"/>
      <c r="AV836" s="9"/>
      <c r="AW836" s="9"/>
    </row>
    <row r="837" ht="14.25" customHeight="1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  <c r="AP837" s="9"/>
      <c r="AQ837" s="9"/>
      <c r="AR837" s="9"/>
      <c r="AS837" s="9"/>
      <c r="AT837" s="9"/>
      <c r="AU837" s="9"/>
      <c r="AV837" s="9"/>
      <c r="AW837" s="9"/>
    </row>
    <row r="838" ht="14.25" customHeight="1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  <c r="AP838" s="9"/>
      <c r="AQ838" s="9"/>
      <c r="AR838" s="9"/>
      <c r="AS838" s="9"/>
      <c r="AT838" s="9"/>
      <c r="AU838" s="9"/>
      <c r="AV838" s="9"/>
      <c r="AW838" s="9"/>
    </row>
    <row r="839" ht="14.25" customHeight="1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  <c r="AP839" s="9"/>
      <c r="AQ839" s="9"/>
      <c r="AR839" s="9"/>
      <c r="AS839" s="9"/>
      <c r="AT839" s="9"/>
      <c r="AU839" s="9"/>
      <c r="AV839" s="9"/>
      <c r="AW839" s="9"/>
    </row>
    <row r="840" ht="14.25" customHeight="1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  <c r="AO840" s="9"/>
      <c r="AP840" s="9"/>
      <c r="AQ840" s="9"/>
      <c r="AR840" s="9"/>
      <c r="AS840" s="9"/>
      <c r="AT840" s="9"/>
      <c r="AU840" s="9"/>
      <c r="AV840" s="9"/>
      <c r="AW840" s="9"/>
    </row>
    <row r="841" ht="14.25" customHeight="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  <c r="AO841" s="9"/>
      <c r="AP841" s="9"/>
      <c r="AQ841" s="9"/>
      <c r="AR841" s="9"/>
      <c r="AS841" s="9"/>
      <c r="AT841" s="9"/>
      <c r="AU841" s="9"/>
      <c r="AV841" s="9"/>
      <c r="AW841" s="9"/>
    </row>
    <row r="842" ht="14.25" customHeight="1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  <c r="AO842" s="9"/>
      <c r="AP842" s="9"/>
      <c r="AQ842" s="9"/>
      <c r="AR842" s="9"/>
      <c r="AS842" s="9"/>
      <c r="AT842" s="9"/>
      <c r="AU842" s="9"/>
      <c r="AV842" s="9"/>
      <c r="AW842" s="9"/>
    </row>
    <row r="843" ht="14.25" customHeight="1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  <c r="AO843" s="9"/>
      <c r="AP843" s="9"/>
      <c r="AQ843" s="9"/>
      <c r="AR843" s="9"/>
      <c r="AS843" s="9"/>
      <c r="AT843" s="9"/>
      <c r="AU843" s="9"/>
      <c r="AV843" s="9"/>
      <c r="AW843" s="9"/>
    </row>
    <row r="844" ht="14.25" customHeight="1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  <c r="AO844" s="9"/>
      <c r="AP844" s="9"/>
      <c r="AQ844" s="9"/>
      <c r="AR844" s="9"/>
      <c r="AS844" s="9"/>
      <c r="AT844" s="9"/>
      <c r="AU844" s="9"/>
      <c r="AV844" s="9"/>
      <c r="AW844" s="9"/>
    </row>
    <row r="845" ht="14.25" customHeight="1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  <c r="AO845" s="9"/>
      <c r="AP845" s="9"/>
      <c r="AQ845" s="9"/>
      <c r="AR845" s="9"/>
      <c r="AS845" s="9"/>
      <c r="AT845" s="9"/>
      <c r="AU845" s="9"/>
      <c r="AV845" s="9"/>
      <c r="AW845" s="9"/>
    </row>
    <row r="846" ht="14.25" customHeight="1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  <c r="AP846" s="9"/>
      <c r="AQ846" s="9"/>
      <c r="AR846" s="9"/>
      <c r="AS846" s="9"/>
      <c r="AT846" s="9"/>
      <c r="AU846" s="9"/>
      <c r="AV846" s="9"/>
      <c r="AW846" s="9"/>
    </row>
    <row r="847" ht="14.25" customHeight="1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  <c r="AP847" s="9"/>
      <c r="AQ847" s="9"/>
      <c r="AR847" s="9"/>
      <c r="AS847" s="9"/>
      <c r="AT847" s="9"/>
      <c r="AU847" s="9"/>
      <c r="AV847" s="9"/>
      <c r="AW847" s="9"/>
    </row>
    <row r="848" ht="14.25" customHeight="1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  <c r="AP848" s="9"/>
      <c r="AQ848" s="9"/>
      <c r="AR848" s="9"/>
      <c r="AS848" s="9"/>
      <c r="AT848" s="9"/>
      <c r="AU848" s="9"/>
      <c r="AV848" s="9"/>
      <c r="AW848" s="9"/>
    </row>
    <row r="849" ht="14.25" customHeight="1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  <c r="AP849" s="9"/>
      <c r="AQ849" s="9"/>
      <c r="AR849" s="9"/>
      <c r="AS849" s="9"/>
      <c r="AT849" s="9"/>
      <c r="AU849" s="9"/>
      <c r="AV849" s="9"/>
      <c r="AW849" s="9"/>
    </row>
    <row r="850" ht="14.25" customHeight="1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  <c r="AP850" s="9"/>
      <c r="AQ850" s="9"/>
      <c r="AR850" s="9"/>
      <c r="AS850" s="9"/>
      <c r="AT850" s="9"/>
      <c r="AU850" s="9"/>
      <c r="AV850" s="9"/>
      <c r="AW850" s="9"/>
    </row>
    <row r="851" ht="14.25" customHeight="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9"/>
      <c r="AO851" s="9"/>
      <c r="AP851" s="9"/>
      <c r="AQ851" s="9"/>
      <c r="AR851" s="9"/>
      <c r="AS851" s="9"/>
      <c r="AT851" s="9"/>
      <c r="AU851" s="9"/>
      <c r="AV851" s="9"/>
      <c r="AW851" s="9"/>
    </row>
    <row r="852" ht="14.25" customHeight="1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9"/>
      <c r="AP852" s="9"/>
      <c r="AQ852" s="9"/>
      <c r="AR852" s="9"/>
      <c r="AS852" s="9"/>
      <c r="AT852" s="9"/>
      <c r="AU852" s="9"/>
      <c r="AV852" s="9"/>
      <c r="AW852" s="9"/>
    </row>
    <row r="853" ht="14.25" customHeight="1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9"/>
      <c r="AP853" s="9"/>
      <c r="AQ853" s="9"/>
      <c r="AR853" s="9"/>
      <c r="AS853" s="9"/>
      <c r="AT853" s="9"/>
      <c r="AU853" s="9"/>
      <c r="AV853" s="9"/>
      <c r="AW853" s="9"/>
    </row>
    <row r="854" ht="14.25" customHeight="1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  <c r="AO854" s="9"/>
      <c r="AP854" s="9"/>
      <c r="AQ854" s="9"/>
      <c r="AR854" s="9"/>
      <c r="AS854" s="9"/>
      <c r="AT854" s="9"/>
      <c r="AU854" s="9"/>
      <c r="AV854" s="9"/>
      <c r="AW854" s="9"/>
    </row>
    <row r="855" ht="14.25" customHeight="1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  <c r="AO855" s="9"/>
      <c r="AP855" s="9"/>
      <c r="AQ855" s="9"/>
      <c r="AR855" s="9"/>
      <c r="AS855" s="9"/>
      <c r="AT855" s="9"/>
      <c r="AU855" s="9"/>
      <c r="AV855" s="9"/>
      <c r="AW855" s="9"/>
    </row>
    <row r="856" ht="14.25" customHeight="1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  <c r="AP856" s="9"/>
      <c r="AQ856" s="9"/>
      <c r="AR856" s="9"/>
      <c r="AS856" s="9"/>
      <c r="AT856" s="9"/>
      <c r="AU856" s="9"/>
      <c r="AV856" s="9"/>
      <c r="AW856" s="9"/>
    </row>
    <row r="857" ht="14.25" customHeight="1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9"/>
      <c r="AP857" s="9"/>
      <c r="AQ857" s="9"/>
      <c r="AR857" s="9"/>
      <c r="AS857" s="9"/>
      <c r="AT857" s="9"/>
      <c r="AU857" s="9"/>
      <c r="AV857" s="9"/>
      <c r="AW857" s="9"/>
    </row>
    <row r="858" ht="14.25" customHeight="1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  <c r="AP858" s="9"/>
      <c r="AQ858" s="9"/>
      <c r="AR858" s="9"/>
      <c r="AS858" s="9"/>
      <c r="AT858" s="9"/>
      <c r="AU858" s="9"/>
      <c r="AV858" s="9"/>
      <c r="AW858" s="9"/>
    </row>
    <row r="859" ht="14.25" customHeight="1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9"/>
      <c r="AP859" s="9"/>
      <c r="AQ859" s="9"/>
      <c r="AR859" s="9"/>
      <c r="AS859" s="9"/>
      <c r="AT859" s="9"/>
      <c r="AU859" s="9"/>
      <c r="AV859" s="9"/>
      <c r="AW859" s="9"/>
    </row>
    <row r="860" ht="14.25" customHeight="1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9"/>
      <c r="AP860" s="9"/>
      <c r="AQ860" s="9"/>
      <c r="AR860" s="9"/>
      <c r="AS860" s="9"/>
      <c r="AT860" s="9"/>
      <c r="AU860" s="9"/>
      <c r="AV860" s="9"/>
      <c r="AW860" s="9"/>
    </row>
    <row r="861" ht="14.25" customHeight="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  <c r="AP861" s="9"/>
      <c r="AQ861" s="9"/>
      <c r="AR861" s="9"/>
      <c r="AS861" s="9"/>
      <c r="AT861" s="9"/>
      <c r="AU861" s="9"/>
      <c r="AV861" s="9"/>
      <c r="AW861" s="9"/>
    </row>
    <row r="862" ht="14.25" customHeight="1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  <c r="AO862" s="9"/>
      <c r="AP862" s="9"/>
      <c r="AQ862" s="9"/>
      <c r="AR862" s="9"/>
      <c r="AS862" s="9"/>
      <c r="AT862" s="9"/>
      <c r="AU862" s="9"/>
      <c r="AV862" s="9"/>
      <c r="AW862" s="9"/>
    </row>
    <row r="863" ht="14.25" customHeight="1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  <c r="AT863" s="9"/>
      <c r="AU863" s="9"/>
      <c r="AV863" s="9"/>
      <c r="AW863" s="9"/>
    </row>
    <row r="864" ht="14.25" customHeight="1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  <c r="AT864" s="9"/>
      <c r="AU864" s="9"/>
      <c r="AV864" s="9"/>
      <c r="AW864" s="9"/>
    </row>
    <row r="865" ht="14.25" customHeight="1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  <c r="AP865" s="9"/>
      <c r="AQ865" s="9"/>
      <c r="AR865" s="9"/>
      <c r="AS865" s="9"/>
      <c r="AT865" s="9"/>
      <c r="AU865" s="9"/>
      <c r="AV865" s="9"/>
      <c r="AW865" s="9"/>
    </row>
    <row r="866" ht="14.25" customHeight="1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  <c r="AO866" s="9"/>
      <c r="AP866" s="9"/>
      <c r="AQ866" s="9"/>
      <c r="AR866" s="9"/>
      <c r="AS866" s="9"/>
      <c r="AT866" s="9"/>
      <c r="AU866" s="9"/>
      <c r="AV866" s="9"/>
      <c r="AW866" s="9"/>
    </row>
    <row r="867" ht="14.25" customHeight="1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9"/>
      <c r="AP867" s="9"/>
      <c r="AQ867" s="9"/>
      <c r="AR867" s="9"/>
      <c r="AS867" s="9"/>
      <c r="AT867" s="9"/>
      <c r="AU867" s="9"/>
      <c r="AV867" s="9"/>
      <c r="AW867" s="9"/>
    </row>
    <row r="868" ht="14.25" customHeight="1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9"/>
      <c r="AP868" s="9"/>
      <c r="AQ868" s="9"/>
      <c r="AR868" s="9"/>
      <c r="AS868" s="9"/>
      <c r="AT868" s="9"/>
      <c r="AU868" s="9"/>
      <c r="AV868" s="9"/>
      <c r="AW868" s="9"/>
    </row>
    <row r="869" ht="14.25" customHeight="1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  <c r="AP869" s="9"/>
      <c r="AQ869" s="9"/>
      <c r="AR869" s="9"/>
      <c r="AS869" s="9"/>
      <c r="AT869" s="9"/>
      <c r="AU869" s="9"/>
      <c r="AV869" s="9"/>
      <c r="AW869" s="9"/>
    </row>
    <row r="870" ht="14.25" customHeight="1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  <c r="AO870" s="9"/>
      <c r="AP870" s="9"/>
      <c r="AQ870" s="9"/>
      <c r="AR870" s="9"/>
      <c r="AS870" s="9"/>
      <c r="AT870" s="9"/>
      <c r="AU870" s="9"/>
      <c r="AV870" s="9"/>
      <c r="AW870" s="9"/>
    </row>
    <row r="871" ht="14.25" customHeight="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9"/>
      <c r="AP871" s="9"/>
      <c r="AQ871" s="9"/>
      <c r="AR871" s="9"/>
      <c r="AS871" s="9"/>
      <c r="AT871" s="9"/>
      <c r="AU871" s="9"/>
      <c r="AV871" s="9"/>
      <c r="AW871" s="9"/>
    </row>
    <row r="872" ht="14.25" customHeight="1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9"/>
      <c r="AP872" s="9"/>
      <c r="AQ872" s="9"/>
      <c r="AR872" s="9"/>
      <c r="AS872" s="9"/>
      <c r="AT872" s="9"/>
      <c r="AU872" s="9"/>
      <c r="AV872" s="9"/>
      <c r="AW872" s="9"/>
    </row>
    <row r="873" ht="14.25" customHeight="1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  <c r="AO873" s="9"/>
      <c r="AP873" s="9"/>
      <c r="AQ873" s="9"/>
      <c r="AR873" s="9"/>
      <c r="AS873" s="9"/>
      <c r="AT873" s="9"/>
      <c r="AU873" s="9"/>
      <c r="AV873" s="9"/>
      <c r="AW873" s="9"/>
    </row>
    <row r="874" ht="14.25" customHeight="1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  <c r="AO874" s="9"/>
      <c r="AP874" s="9"/>
      <c r="AQ874" s="9"/>
      <c r="AR874" s="9"/>
      <c r="AS874" s="9"/>
      <c r="AT874" s="9"/>
      <c r="AU874" s="9"/>
      <c r="AV874" s="9"/>
      <c r="AW874" s="9"/>
    </row>
    <row r="875" ht="14.25" customHeight="1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  <c r="AP875" s="9"/>
      <c r="AQ875" s="9"/>
      <c r="AR875" s="9"/>
      <c r="AS875" s="9"/>
      <c r="AT875" s="9"/>
      <c r="AU875" s="9"/>
      <c r="AV875" s="9"/>
      <c r="AW875" s="9"/>
    </row>
    <row r="876" ht="14.25" customHeight="1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  <c r="AO876" s="9"/>
      <c r="AP876" s="9"/>
      <c r="AQ876" s="9"/>
      <c r="AR876" s="9"/>
      <c r="AS876" s="9"/>
      <c r="AT876" s="9"/>
      <c r="AU876" s="9"/>
      <c r="AV876" s="9"/>
      <c r="AW876" s="9"/>
    </row>
    <row r="877" ht="14.25" customHeight="1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  <c r="AO877" s="9"/>
      <c r="AP877" s="9"/>
      <c r="AQ877" s="9"/>
      <c r="AR877" s="9"/>
      <c r="AS877" s="9"/>
      <c r="AT877" s="9"/>
      <c r="AU877" s="9"/>
      <c r="AV877" s="9"/>
      <c r="AW877" s="9"/>
    </row>
    <row r="878" ht="14.25" customHeight="1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  <c r="AO878" s="9"/>
      <c r="AP878" s="9"/>
      <c r="AQ878" s="9"/>
      <c r="AR878" s="9"/>
      <c r="AS878" s="9"/>
      <c r="AT878" s="9"/>
      <c r="AU878" s="9"/>
      <c r="AV878" s="9"/>
      <c r="AW878" s="9"/>
    </row>
    <row r="879" ht="14.25" customHeight="1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  <c r="AO879" s="9"/>
      <c r="AP879" s="9"/>
      <c r="AQ879" s="9"/>
      <c r="AR879" s="9"/>
      <c r="AS879" s="9"/>
      <c r="AT879" s="9"/>
      <c r="AU879" s="9"/>
      <c r="AV879" s="9"/>
      <c r="AW879" s="9"/>
    </row>
    <row r="880" ht="14.25" customHeight="1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  <c r="AO880" s="9"/>
      <c r="AP880" s="9"/>
      <c r="AQ880" s="9"/>
      <c r="AR880" s="9"/>
      <c r="AS880" s="9"/>
      <c r="AT880" s="9"/>
      <c r="AU880" s="9"/>
      <c r="AV880" s="9"/>
      <c r="AW880" s="9"/>
    </row>
    <row r="881" ht="14.25" customHeight="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9"/>
      <c r="AP881" s="9"/>
      <c r="AQ881" s="9"/>
      <c r="AR881" s="9"/>
      <c r="AS881" s="9"/>
      <c r="AT881" s="9"/>
      <c r="AU881" s="9"/>
      <c r="AV881" s="9"/>
      <c r="AW881" s="9"/>
    </row>
    <row r="882" ht="14.25" customHeight="1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9"/>
      <c r="AP882" s="9"/>
      <c r="AQ882" s="9"/>
      <c r="AR882" s="9"/>
      <c r="AS882" s="9"/>
      <c r="AT882" s="9"/>
      <c r="AU882" s="9"/>
      <c r="AV882" s="9"/>
      <c r="AW882" s="9"/>
    </row>
    <row r="883" ht="14.25" customHeight="1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  <c r="AO883" s="9"/>
      <c r="AP883" s="9"/>
      <c r="AQ883" s="9"/>
      <c r="AR883" s="9"/>
      <c r="AS883" s="9"/>
      <c r="AT883" s="9"/>
      <c r="AU883" s="9"/>
      <c r="AV883" s="9"/>
      <c r="AW883" s="9"/>
    </row>
    <row r="884" ht="14.25" customHeight="1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9"/>
      <c r="AP884" s="9"/>
      <c r="AQ884" s="9"/>
      <c r="AR884" s="9"/>
      <c r="AS884" s="9"/>
      <c r="AT884" s="9"/>
      <c r="AU884" s="9"/>
      <c r="AV884" s="9"/>
      <c r="AW884" s="9"/>
    </row>
    <row r="885" ht="14.25" customHeight="1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  <c r="AQ885" s="9"/>
      <c r="AR885" s="9"/>
      <c r="AS885" s="9"/>
      <c r="AT885" s="9"/>
      <c r="AU885" s="9"/>
      <c r="AV885" s="9"/>
      <c r="AW885" s="9"/>
    </row>
    <row r="886" ht="14.25" customHeight="1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  <c r="AP886" s="9"/>
      <c r="AQ886" s="9"/>
      <c r="AR886" s="9"/>
      <c r="AS886" s="9"/>
      <c r="AT886" s="9"/>
      <c r="AU886" s="9"/>
      <c r="AV886" s="9"/>
      <c r="AW886" s="9"/>
    </row>
    <row r="887" ht="14.25" customHeight="1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  <c r="AP887" s="9"/>
      <c r="AQ887" s="9"/>
      <c r="AR887" s="9"/>
      <c r="AS887" s="9"/>
      <c r="AT887" s="9"/>
      <c r="AU887" s="9"/>
      <c r="AV887" s="9"/>
      <c r="AW887" s="9"/>
    </row>
    <row r="888" ht="14.25" customHeight="1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  <c r="AP888" s="9"/>
      <c r="AQ888" s="9"/>
      <c r="AR888" s="9"/>
      <c r="AS888" s="9"/>
      <c r="AT888" s="9"/>
      <c r="AU888" s="9"/>
      <c r="AV888" s="9"/>
      <c r="AW888" s="9"/>
    </row>
    <row r="889" ht="14.25" customHeight="1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  <c r="AP889" s="9"/>
      <c r="AQ889" s="9"/>
      <c r="AR889" s="9"/>
      <c r="AS889" s="9"/>
      <c r="AT889" s="9"/>
      <c r="AU889" s="9"/>
      <c r="AV889" s="9"/>
      <c r="AW889" s="9"/>
    </row>
    <row r="890" ht="14.25" customHeight="1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  <c r="AO890" s="9"/>
      <c r="AP890" s="9"/>
      <c r="AQ890" s="9"/>
      <c r="AR890" s="9"/>
      <c r="AS890" s="9"/>
      <c r="AT890" s="9"/>
      <c r="AU890" s="9"/>
      <c r="AV890" s="9"/>
      <c r="AW890" s="9"/>
    </row>
    <row r="891" ht="14.25" customHeight="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  <c r="AO891" s="9"/>
      <c r="AP891" s="9"/>
      <c r="AQ891" s="9"/>
      <c r="AR891" s="9"/>
      <c r="AS891" s="9"/>
      <c r="AT891" s="9"/>
      <c r="AU891" s="9"/>
      <c r="AV891" s="9"/>
      <c r="AW891" s="9"/>
    </row>
    <row r="892" ht="14.25" customHeight="1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  <c r="AP892" s="9"/>
      <c r="AQ892" s="9"/>
      <c r="AR892" s="9"/>
      <c r="AS892" s="9"/>
      <c r="AT892" s="9"/>
      <c r="AU892" s="9"/>
      <c r="AV892" s="9"/>
      <c r="AW892" s="9"/>
    </row>
    <row r="893" ht="14.25" customHeight="1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  <c r="AO893" s="9"/>
      <c r="AP893" s="9"/>
      <c r="AQ893" s="9"/>
      <c r="AR893" s="9"/>
      <c r="AS893" s="9"/>
      <c r="AT893" s="9"/>
      <c r="AU893" s="9"/>
      <c r="AV893" s="9"/>
      <c r="AW893" s="9"/>
    </row>
    <row r="894" ht="14.25" customHeight="1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  <c r="AP894" s="9"/>
      <c r="AQ894" s="9"/>
      <c r="AR894" s="9"/>
      <c r="AS894" s="9"/>
      <c r="AT894" s="9"/>
      <c r="AU894" s="9"/>
      <c r="AV894" s="9"/>
      <c r="AW894" s="9"/>
    </row>
    <row r="895" ht="14.25" customHeight="1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  <c r="AO895" s="9"/>
      <c r="AP895" s="9"/>
      <c r="AQ895" s="9"/>
      <c r="AR895" s="9"/>
      <c r="AS895" s="9"/>
      <c r="AT895" s="9"/>
      <c r="AU895" s="9"/>
      <c r="AV895" s="9"/>
      <c r="AW895" s="9"/>
    </row>
    <row r="896" ht="14.25" customHeight="1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  <c r="AP896" s="9"/>
      <c r="AQ896" s="9"/>
      <c r="AR896" s="9"/>
      <c r="AS896" s="9"/>
      <c r="AT896" s="9"/>
      <c r="AU896" s="9"/>
      <c r="AV896" s="9"/>
      <c r="AW896" s="9"/>
    </row>
    <row r="897" ht="14.25" customHeight="1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  <c r="AP897" s="9"/>
      <c r="AQ897" s="9"/>
      <c r="AR897" s="9"/>
      <c r="AS897" s="9"/>
      <c r="AT897" s="9"/>
      <c r="AU897" s="9"/>
      <c r="AV897" s="9"/>
      <c r="AW897" s="9"/>
    </row>
    <row r="898" ht="14.25" customHeight="1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  <c r="AP898" s="9"/>
      <c r="AQ898" s="9"/>
      <c r="AR898" s="9"/>
      <c r="AS898" s="9"/>
      <c r="AT898" s="9"/>
      <c r="AU898" s="9"/>
      <c r="AV898" s="9"/>
      <c r="AW898" s="9"/>
    </row>
    <row r="899" ht="14.25" customHeight="1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  <c r="AO899" s="9"/>
      <c r="AP899" s="9"/>
      <c r="AQ899" s="9"/>
      <c r="AR899" s="9"/>
      <c r="AS899" s="9"/>
      <c r="AT899" s="9"/>
      <c r="AU899" s="9"/>
      <c r="AV899" s="9"/>
      <c r="AW899" s="9"/>
    </row>
    <row r="900" ht="14.25" customHeight="1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  <c r="AP900" s="9"/>
      <c r="AQ900" s="9"/>
      <c r="AR900" s="9"/>
      <c r="AS900" s="9"/>
      <c r="AT900" s="9"/>
      <c r="AU900" s="9"/>
      <c r="AV900" s="9"/>
      <c r="AW900" s="9"/>
    </row>
    <row r="901" ht="14.25" customHeight="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  <c r="AP901" s="9"/>
      <c r="AQ901" s="9"/>
      <c r="AR901" s="9"/>
      <c r="AS901" s="9"/>
      <c r="AT901" s="9"/>
      <c r="AU901" s="9"/>
      <c r="AV901" s="9"/>
      <c r="AW901" s="9"/>
    </row>
    <row r="902" ht="14.25" customHeight="1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  <c r="AO902" s="9"/>
      <c r="AP902" s="9"/>
      <c r="AQ902" s="9"/>
      <c r="AR902" s="9"/>
      <c r="AS902" s="9"/>
      <c r="AT902" s="9"/>
      <c r="AU902" s="9"/>
      <c r="AV902" s="9"/>
      <c r="AW902" s="9"/>
    </row>
    <row r="903" ht="14.25" customHeight="1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  <c r="AO903" s="9"/>
      <c r="AP903" s="9"/>
      <c r="AQ903" s="9"/>
      <c r="AR903" s="9"/>
      <c r="AS903" s="9"/>
      <c r="AT903" s="9"/>
      <c r="AU903" s="9"/>
      <c r="AV903" s="9"/>
      <c r="AW903" s="9"/>
    </row>
    <row r="904" ht="14.25" customHeight="1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  <c r="AO904" s="9"/>
      <c r="AP904" s="9"/>
      <c r="AQ904" s="9"/>
      <c r="AR904" s="9"/>
      <c r="AS904" s="9"/>
      <c r="AT904" s="9"/>
      <c r="AU904" s="9"/>
      <c r="AV904" s="9"/>
      <c r="AW904" s="9"/>
    </row>
    <row r="905" ht="14.25" customHeight="1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  <c r="AP905" s="9"/>
      <c r="AQ905" s="9"/>
      <c r="AR905" s="9"/>
      <c r="AS905" s="9"/>
      <c r="AT905" s="9"/>
      <c r="AU905" s="9"/>
      <c r="AV905" s="9"/>
      <c r="AW905" s="9"/>
    </row>
    <row r="906" ht="14.25" customHeight="1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  <c r="AO906" s="9"/>
      <c r="AP906" s="9"/>
      <c r="AQ906" s="9"/>
      <c r="AR906" s="9"/>
      <c r="AS906" s="9"/>
      <c r="AT906" s="9"/>
      <c r="AU906" s="9"/>
      <c r="AV906" s="9"/>
      <c r="AW906" s="9"/>
    </row>
    <row r="907" ht="14.25" customHeight="1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  <c r="AP907" s="9"/>
      <c r="AQ907" s="9"/>
      <c r="AR907" s="9"/>
      <c r="AS907" s="9"/>
      <c r="AT907" s="9"/>
      <c r="AU907" s="9"/>
      <c r="AV907" s="9"/>
      <c r="AW907" s="9"/>
    </row>
    <row r="908" ht="14.25" customHeight="1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  <c r="AP908" s="9"/>
      <c r="AQ908" s="9"/>
      <c r="AR908" s="9"/>
      <c r="AS908" s="9"/>
      <c r="AT908" s="9"/>
      <c r="AU908" s="9"/>
      <c r="AV908" s="9"/>
      <c r="AW908" s="9"/>
    </row>
    <row r="909" ht="14.25" customHeight="1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  <c r="AP909" s="9"/>
      <c r="AQ909" s="9"/>
      <c r="AR909" s="9"/>
      <c r="AS909" s="9"/>
      <c r="AT909" s="9"/>
      <c r="AU909" s="9"/>
      <c r="AV909" s="9"/>
      <c r="AW909" s="9"/>
    </row>
    <row r="910" ht="14.25" customHeight="1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  <c r="AP910" s="9"/>
      <c r="AQ910" s="9"/>
      <c r="AR910" s="9"/>
      <c r="AS910" s="9"/>
      <c r="AT910" s="9"/>
      <c r="AU910" s="9"/>
      <c r="AV910" s="9"/>
      <c r="AW910" s="9"/>
    </row>
    <row r="911" ht="14.25" customHeight="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  <c r="AP911" s="9"/>
      <c r="AQ911" s="9"/>
      <c r="AR911" s="9"/>
      <c r="AS911" s="9"/>
      <c r="AT911" s="9"/>
      <c r="AU911" s="9"/>
      <c r="AV911" s="9"/>
      <c r="AW911" s="9"/>
    </row>
    <row r="912" ht="14.25" customHeight="1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  <c r="AQ912" s="9"/>
      <c r="AR912" s="9"/>
      <c r="AS912" s="9"/>
      <c r="AT912" s="9"/>
      <c r="AU912" s="9"/>
      <c r="AV912" s="9"/>
      <c r="AW912" s="9"/>
    </row>
    <row r="913" ht="14.25" customHeight="1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  <c r="AP913" s="9"/>
      <c r="AQ913" s="9"/>
      <c r="AR913" s="9"/>
      <c r="AS913" s="9"/>
      <c r="AT913" s="9"/>
      <c r="AU913" s="9"/>
      <c r="AV913" s="9"/>
      <c r="AW913" s="9"/>
    </row>
    <row r="914" ht="14.25" customHeight="1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  <c r="AP914" s="9"/>
      <c r="AQ914" s="9"/>
      <c r="AR914" s="9"/>
      <c r="AS914" s="9"/>
      <c r="AT914" s="9"/>
      <c r="AU914" s="9"/>
      <c r="AV914" s="9"/>
      <c r="AW914" s="9"/>
    </row>
    <row r="915" ht="14.25" customHeight="1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  <c r="AP915" s="9"/>
      <c r="AQ915" s="9"/>
      <c r="AR915" s="9"/>
      <c r="AS915" s="9"/>
      <c r="AT915" s="9"/>
      <c r="AU915" s="9"/>
      <c r="AV915" s="9"/>
      <c r="AW915" s="9"/>
    </row>
    <row r="916" ht="14.25" customHeight="1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  <c r="AP916" s="9"/>
      <c r="AQ916" s="9"/>
      <c r="AR916" s="9"/>
      <c r="AS916" s="9"/>
      <c r="AT916" s="9"/>
      <c r="AU916" s="9"/>
      <c r="AV916" s="9"/>
      <c r="AW916" s="9"/>
    </row>
    <row r="917" ht="14.25" customHeight="1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  <c r="AQ917" s="9"/>
      <c r="AR917" s="9"/>
      <c r="AS917" s="9"/>
      <c r="AT917" s="9"/>
      <c r="AU917" s="9"/>
      <c r="AV917" s="9"/>
      <c r="AW917" s="9"/>
    </row>
    <row r="918" ht="14.25" customHeight="1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  <c r="AQ918" s="9"/>
      <c r="AR918" s="9"/>
      <c r="AS918" s="9"/>
      <c r="AT918" s="9"/>
      <c r="AU918" s="9"/>
      <c r="AV918" s="9"/>
      <c r="AW918" s="9"/>
    </row>
    <row r="919" ht="14.25" customHeight="1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  <c r="AQ919" s="9"/>
      <c r="AR919" s="9"/>
      <c r="AS919" s="9"/>
      <c r="AT919" s="9"/>
      <c r="AU919" s="9"/>
      <c r="AV919" s="9"/>
      <c r="AW919" s="9"/>
    </row>
    <row r="920" ht="14.25" customHeight="1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  <c r="AP920" s="9"/>
      <c r="AQ920" s="9"/>
      <c r="AR920" s="9"/>
      <c r="AS920" s="9"/>
      <c r="AT920" s="9"/>
      <c r="AU920" s="9"/>
      <c r="AV920" s="9"/>
      <c r="AW920" s="9"/>
    </row>
    <row r="921" ht="14.25" customHeight="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  <c r="AP921" s="9"/>
      <c r="AQ921" s="9"/>
      <c r="AR921" s="9"/>
      <c r="AS921" s="9"/>
      <c r="AT921" s="9"/>
      <c r="AU921" s="9"/>
      <c r="AV921" s="9"/>
      <c r="AW921" s="9"/>
    </row>
    <row r="922" ht="14.25" customHeight="1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  <c r="AP922" s="9"/>
      <c r="AQ922" s="9"/>
      <c r="AR922" s="9"/>
      <c r="AS922" s="9"/>
      <c r="AT922" s="9"/>
      <c r="AU922" s="9"/>
      <c r="AV922" s="9"/>
      <c r="AW922" s="9"/>
    </row>
    <row r="923" ht="14.25" customHeight="1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  <c r="AP923" s="9"/>
      <c r="AQ923" s="9"/>
      <c r="AR923" s="9"/>
      <c r="AS923" s="9"/>
      <c r="AT923" s="9"/>
      <c r="AU923" s="9"/>
      <c r="AV923" s="9"/>
      <c r="AW923" s="9"/>
    </row>
    <row r="924" ht="14.25" customHeight="1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  <c r="AO924" s="9"/>
      <c r="AP924" s="9"/>
      <c r="AQ924" s="9"/>
      <c r="AR924" s="9"/>
      <c r="AS924" s="9"/>
      <c r="AT924" s="9"/>
      <c r="AU924" s="9"/>
      <c r="AV924" s="9"/>
      <c r="AW924" s="9"/>
    </row>
    <row r="925" ht="14.25" customHeight="1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  <c r="AO925" s="9"/>
      <c r="AP925" s="9"/>
      <c r="AQ925" s="9"/>
      <c r="AR925" s="9"/>
      <c r="AS925" s="9"/>
      <c r="AT925" s="9"/>
      <c r="AU925" s="9"/>
      <c r="AV925" s="9"/>
      <c r="AW925" s="9"/>
    </row>
    <row r="926" ht="14.25" customHeight="1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  <c r="AP926" s="9"/>
      <c r="AQ926" s="9"/>
      <c r="AR926" s="9"/>
      <c r="AS926" s="9"/>
      <c r="AT926" s="9"/>
      <c r="AU926" s="9"/>
      <c r="AV926" s="9"/>
      <c r="AW926" s="9"/>
    </row>
    <row r="927" ht="14.25" customHeight="1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  <c r="AP927" s="9"/>
      <c r="AQ927" s="9"/>
      <c r="AR927" s="9"/>
      <c r="AS927" s="9"/>
      <c r="AT927" s="9"/>
      <c r="AU927" s="9"/>
      <c r="AV927" s="9"/>
      <c r="AW927" s="9"/>
    </row>
    <row r="928" ht="14.25" customHeight="1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  <c r="AP928" s="9"/>
      <c r="AQ928" s="9"/>
      <c r="AR928" s="9"/>
      <c r="AS928" s="9"/>
      <c r="AT928" s="9"/>
      <c r="AU928" s="9"/>
      <c r="AV928" s="9"/>
      <c r="AW928" s="9"/>
    </row>
    <row r="929" ht="14.25" customHeight="1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  <c r="AO929" s="9"/>
      <c r="AP929" s="9"/>
      <c r="AQ929" s="9"/>
      <c r="AR929" s="9"/>
      <c r="AS929" s="9"/>
      <c r="AT929" s="9"/>
      <c r="AU929" s="9"/>
      <c r="AV929" s="9"/>
      <c r="AW929" s="9"/>
    </row>
    <row r="930" ht="14.25" customHeight="1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  <c r="AO930" s="9"/>
      <c r="AP930" s="9"/>
      <c r="AQ930" s="9"/>
      <c r="AR930" s="9"/>
      <c r="AS930" s="9"/>
      <c r="AT930" s="9"/>
      <c r="AU930" s="9"/>
      <c r="AV930" s="9"/>
      <c r="AW930" s="9"/>
    </row>
    <row r="931" ht="14.25" customHeight="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  <c r="AO931" s="9"/>
      <c r="AP931" s="9"/>
      <c r="AQ931" s="9"/>
      <c r="AR931" s="9"/>
      <c r="AS931" s="9"/>
      <c r="AT931" s="9"/>
      <c r="AU931" s="9"/>
      <c r="AV931" s="9"/>
      <c r="AW931" s="9"/>
    </row>
    <row r="932" ht="14.25" customHeight="1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9"/>
      <c r="AP932" s="9"/>
      <c r="AQ932" s="9"/>
      <c r="AR932" s="9"/>
      <c r="AS932" s="9"/>
      <c r="AT932" s="9"/>
      <c r="AU932" s="9"/>
      <c r="AV932" s="9"/>
      <c r="AW932" s="9"/>
    </row>
    <row r="933" ht="14.25" customHeight="1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  <c r="AP933" s="9"/>
      <c r="AQ933" s="9"/>
      <c r="AR933" s="9"/>
      <c r="AS933" s="9"/>
      <c r="AT933" s="9"/>
      <c r="AU933" s="9"/>
      <c r="AV933" s="9"/>
      <c r="AW933" s="9"/>
    </row>
    <row r="934" ht="14.25" customHeight="1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  <c r="AO934" s="9"/>
      <c r="AP934" s="9"/>
      <c r="AQ934" s="9"/>
      <c r="AR934" s="9"/>
      <c r="AS934" s="9"/>
      <c r="AT934" s="9"/>
      <c r="AU934" s="9"/>
      <c r="AV934" s="9"/>
      <c r="AW934" s="9"/>
    </row>
    <row r="935" ht="14.25" customHeight="1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  <c r="AO935" s="9"/>
      <c r="AP935" s="9"/>
      <c r="AQ935" s="9"/>
      <c r="AR935" s="9"/>
      <c r="AS935" s="9"/>
      <c r="AT935" s="9"/>
      <c r="AU935" s="9"/>
      <c r="AV935" s="9"/>
      <c r="AW935" s="9"/>
    </row>
    <row r="936" ht="14.25" customHeight="1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  <c r="AO936" s="9"/>
      <c r="AP936" s="9"/>
      <c r="AQ936" s="9"/>
      <c r="AR936" s="9"/>
      <c r="AS936" s="9"/>
      <c r="AT936" s="9"/>
      <c r="AU936" s="9"/>
      <c r="AV936" s="9"/>
      <c r="AW936" s="9"/>
    </row>
    <row r="937" ht="14.25" customHeight="1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9"/>
      <c r="AP937" s="9"/>
      <c r="AQ937" s="9"/>
      <c r="AR937" s="9"/>
      <c r="AS937" s="9"/>
      <c r="AT937" s="9"/>
      <c r="AU937" s="9"/>
      <c r="AV937" s="9"/>
      <c r="AW937" s="9"/>
    </row>
    <row r="938" ht="14.25" customHeight="1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9"/>
      <c r="AO938" s="9"/>
      <c r="AP938" s="9"/>
      <c r="AQ938" s="9"/>
      <c r="AR938" s="9"/>
      <c r="AS938" s="9"/>
      <c r="AT938" s="9"/>
      <c r="AU938" s="9"/>
      <c r="AV938" s="9"/>
      <c r="AW938" s="9"/>
    </row>
    <row r="939" ht="14.25" customHeight="1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9"/>
      <c r="AP939" s="9"/>
      <c r="AQ939" s="9"/>
      <c r="AR939" s="9"/>
      <c r="AS939" s="9"/>
      <c r="AT939" s="9"/>
      <c r="AU939" s="9"/>
      <c r="AV939" s="9"/>
      <c r="AW939" s="9"/>
    </row>
    <row r="940" ht="14.25" customHeight="1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9"/>
      <c r="AP940" s="9"/>
      <c r="AQ940" s="9"/>
      <c r="AR940" s="9"/>
      <c r="AS940" s="9"/>
      <c r="AT940" s="9"/>
      <c r="AU940" s="9"/>
      <c r="AV940" s="9"/>
      <c r="AW940" s="9"/>
    </row>
    <row r="941" ht="14.25" customHeight="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9"/>
      <c r="AO941" s="9"/>
      <c r="AP941" s="9"/>
      <c r="AQ941" s="9"/>
      <c r="AR941" s="9"/>
      <c r="AS941" s="9"/>
      <c r="AT941" s="9"/>
      <c r="AU941" s="9"/>
      <c r="AV941" s="9"/>
      <c r="AW941" s="9"/>
    </row>
    <row r="942" ht="14.25" customHeight="1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9"/>
      <c r="AN942" s="9"/>
      <c r="AO942" s="9"/>
      <c r="AP942" s="9"/>
      <c r="AQ942" s="9"/>
      <c r="AR942" s="9"/>
      <c r="AS942" s="9"/>
      <c r="AT942" s="9"/>
      <c r="AU942" s="9"/>
      <c r="AV942" s="9"/>
      <c r="AW942" s="9"/>
    </row>
    <row r="943" ht="14.25" customHeight="1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9"/>
      <c r="AN943" s="9"/>
      <c r="AO943" s="9"/>
      <c r="AP943" s="9"/>
      <c r="AQ943" s="9"/>
      <c r="AR943" s="9"/>
      <c r="AS943" s="9"/>
      <c r="AT943" s="9"/>
      <c r="AU943" s="9"/>
      <c r="AV943" s="9"/>
      <c r="AW943" s="9"/>
    </row>
    <row r="944" ht="14.25" customHeight="1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  <c r="AO944" s="9"/>
      <c r="AP944" s="9"/>
      <c r="AQ944" s="9"/>
      <c r="AR944" s="9"/>
      <c r="AS944" s="9"/>
      <c r="AT944" s="9"/>
      <c r="AU944" s="9"/>
      <c r="AV944" s="9"/>
      <c r="AW944" s="9"/>
    </row>
    <row r="945" ht="14.25" customHeight="1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9"/>
      <c r="AP945" s="9"/>
      <c r="AQ945" s="9"/>
      <c r="AR945" s="9"/>
      <c r="AS945" s="9"/>
      <c r="AT945" s="9"/>
      <c r="AU945" s="9"/>
      <c r="AV945" s="9"/>
      <c r="AW945" s="9"/>
    </row>
    <row r="946" ht="14.25" customHeight="1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9"/>
      <c r="AP946" s="9"/>
      <c r="AQ946" s="9"/>
      <c r="AR946" s="9"/>
      <c r="AS946" s="9"/>
      <c r="AT946" s="9"/>
      <c r="AU946" s="9"/>
      <c r="AV946" s="9"/>
      <c r="AW946" s="9"/>
    </row>
    <row r="947" ht="14.25" customHeight="1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9"/>
      <c r="AN947" s="9"/>
      <c r="AO947" s="9"/>
      <c r="AP947" s="9"/>
      <c r="AQ947" s="9"/>
      <c r="AR947" s="9"/>
      <c r="AS947" s="9"/>
      <c r="AT947" s="9"/>
      <c r="AU947" s="9"/>
      <c r="AV947" s="9"/>
      <c r="AW947" s="9"/>
    </row>
    <row r="948" ht="14.25" customHeight="1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9"/>
      <c r="AP948" s="9"/>
      <c r="AQ948" s="9"/>
      <c r="AR948" s="9"/>
      <c r="AS948" s="9"/>
      <c r="AT948" s="9"/>
      <c r="AU948" s="9"/>
      <c r="AV948" s="9"/>
      <c r="AW948" s="9"/>
    </row>
    <row r="949" ht="14.25" customHeight="1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9"/>
      <c r="AP949" s="9"/>
      <c r="AQ949" s="9"/>
      <c r="AR949" s="9"/>
      <c r="AS949" s="9"/>
      <c r="AT949" s="9"/>
      <c r="AU949" s="9"/>
      <c r="AV949" s="9"/>
      <c r="AW949" s="9"/>
    </row>
    <row r="950" ht="14.25" customHeight="1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9"/>
      <c r="AN950" s="9"/>
      <c r="AO950" s="9"/>
      <c r="AP950" s="9"/>
      <c r="AQ950" s="9"/>
      <c r="AR950" s="9"/>
      <c r="AS950" s="9"/>
      <c r="AT950" s="9"/>
      <c r="AU950" s="9"/>
      <c r="AV950" s="9"/>
      <c r="AW950" s="9"/>
    </row>
    <row r="951" ht="14.25" customHeight="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9"/>
      <c r="AN951" s="9"/>
      <c r="AO951" s="9"/>
      <c r="AP951" s="9"/>
      <c r="AQ951" s="9"/>
      <c r="AR951" s="9"/>
      <c r="AS951" s="9"/>
      <c r="AT951" s="9"/>
      <c r="AU951" s="9"/>
      <c r="AV951" s="9"/>
      <c r="AW951" s="9"/>
    </row>
    <row r="952" ht="14.25" customHeight="1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9"/>
      <c r="AN952" s="9"/>
      <c r="AO952" s="9"/>
      <c r="AP952" s="9"/>
      <c r="AQ952" s="9"/>
      <c r="AR952" s="9"/>
      <c r="AS952" s="9"/>
      <c r="AT952" s="9"/>
      <c r="AU952" s="9"/>
      <c r="AV952" s="9"/>
      <c r="AW952" s="9"/>
    </row>
    <row r="953" ht="14.25" customHeight="1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9"/>
      <c r="AP953" s="9"/>
      <c r="AQ953" s="9"/>
      <c r="AR953" s="9"/>
      <c r="AS953" s="9"/>
      <c r="AT953" s="9"/>
      <c r="AU953" s="9"/>
      <c r="AV953" s="9"/>
      <c r="AW953" s="9"/>
    </row>
    <row r="954" ht="14.25" customHeight="1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9"/>
      <c r="AP954" s="9"/>
      <c r="AQ954" s="9"/>
      <c r="AR954" s="9"/>
      <c r="AS954" s="9"/>
      <c r="AT954" s="9"/>
      <c r="AU954" s="9"/>
      <c r="AV954" s="9"/>
      <c r="AW954" s="9"/>
    </row>
    <row r="955" ht="14.25" customHeight="1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9"/>
      <c r="AN955" s="9"/>
      <c r="AO955" s="9"/>
      <c r="AP955" s="9"/>
      <c r="AQ955" s="9"/>
      <c r="AR955" s="9"/>
      <c r="AS955" s="9"/>
      <c r="AT955" s="9"/>
      <c r="AU955" s="9"/>
      <c r="AV955" s="9"/>
      <c r="AW955" s="9"/>
    </row>
    <row r="956" ht="14.25" customHeight="1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  <c r="AO956" s="9"/>
      <c r="AP956" s="9"/>
      <c r="AQ956" s="9"/>
      <c r="AR956" s="9"/>
      <c r="AS956" s="9"/>
      <c r="AT956" s="9"/>
      <c r="AU956" s="9"/>
      <c r="AV956" s="9"/>
      <c r="AW956" s="9"/>
    </row>
    <row r="957" ht="14.25" customHeight="1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9"/>
      <c r="AO957" s="9"/>
      <c r="AP957" s="9"/>
      <c r="AQ957" s="9"/>
      <c r="AR957" s="9"/>
      <c r="AS957" s="9"/>
      <c r="AT957" s="9"/>
      <c r="AU957" s="9"/>
      <c r="AV957" s="9"/>
      <c r="AW957" s="9"/>
    </row>
    <row r="958" ht="14.25" customHeight="1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9"/>
      <c r="AP958" s="9"/>
      <c r="AQ958" s="9"/>
      <c r="AR958" s="9"/>
      <c r="AS958" s="9"/>
      <c r="AT958" s="9"/>
      <c r="AU958" s="9"/>
      <c r="AV958" s="9"/>
      <c r="AW958" s="9"/>
    </row>
    <row r="959" ht="14.25" customHeight="1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9"/>
      <c r="AO959" s="9"/>
      <c r="AP959" s="9"/>
      <c r="AQ959" s="9"/>
      <c r="AR959" s="9"/>
      <c r="AS959" s="9"/>
      <c r="AT959" s="9"/>
      <c r="AU959" s="9"/>
      <c r="AV959" s="9"/>
      <c r="AW959" s="9"/>
    </row>
    <row r="960" ht="14.25" customHeight="1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9"/>
      <c r="AP960" s="9"/>
      <c r="AQ960" s="9"/>
      <c r="AR960" s="9"/>
      <c r="AS960" s="9"/>
      <c r="AT960" s="9"/>
      <c r="AU960" s="9"/>
      <c r="AV960" s="9"/>
      <c r="AW960" s="9"/>
    </row>
    <row r="961" ht="14.25" customHeight="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9"/>
      <c r="AP961" s="9"/>
      <c r="AQ961" s="9"/>
      <c r="AR961" s="9"/>
      <c r="AS961" s="9"/>
      <c r="AT961" s="9"/>
      <c r="AU961" s="9"/>
      <c r="AV961" s="9"/>
      <c r="AW961" s="9"/>
    </row>
    <row r="962" ht="14.25" customHeight="1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9"/>
      <c r="AP962" s="9"/>
      <c r="AQ962" s="9"/>
      <c r="AR962" s="9"/>
      <c r="AS962" s="9"/>
      <c r="AT962" s="9"/>
      <c r="AU962" s="9"/>
      <c r="AV962" s="9"/>
      <c r="AW962" s="9"/>
    </row>
    <row r="963" ht="14.25" customHeight="1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9"/>
      <c r="AP963" s="9"/>
      <c r="AQ963" s="9"/>
      <c r="AR963" s="9"/>
      <c r="AS963" s="9"/>
      <c r="AT963" s="9"/>
      <c r="AU963" s="9"/>
      <c r="AV963" s="9"/>
      <c r="AW963" s="9"/>
    </row>
    <row r="964" ht="14.25" customHeight="1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9"/>
      <c r="AN964" s="9"/>
      <c r="AO964" s="9"/>
      <c r="AP964" s="9"/>
      <c r="AQ964" s="9"/>
      <c r="AR964" s="9"/>
      <c r="AS964" s="9"/>
      <c r="AT964" s="9"/>
      <c r="AU964" s="9"/>
      <c r="AV964" s="9"/>
      <c r="AW964" s="9"/>
    </row>
    <row r="965" ht="14.25" customHeight="1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9"/>
      <c r="AN965" s="9"/>
      <c r="AO965" s="9"/>
      <c r="AP965" s="9"/>
      <c r="AQ965" s="9"/>
      <c r="AR965" s="9"/>
      <c r="AS965" s="9"/>
      <c r="AT965" s="9"/>
      <c r="AU965" s="9"/>
      <c r="AV965" s="9"/>
      <c r="AW965" s="9"/>
    </row>
    <row r="966" ht="14.25" customHeight="1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9"/>
      <c r="AN966" s="9"/>
      <c r="AO966" s="9"/>
      <c r="AP966" s="9"/>
      <c r="AQ966" s="9"/>
      <c r="AR966" s="9"/>
      <c r="AS966" s="9"/>
      <c r="AT966" s="9"/>
      <c r="AU966" s="9"/>
      <c r="AV966" s="9"/>
      <c r="AW966" s="9"/>
    </row>
    <row r="967" ht="14.25" customHeight="1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9"/>
      <c r="AP967" s="9"/>
      <c r="AQ967" s="9"/>
      <c r="AR967" s="9"/>
      <c r="AS967" s="9"/>
      <c r="AT967" s="9"/>
      <c r="AU967" s="9"/>
      <c r="AV967" s="9"/>
      <c r="AW967" s="9"/>
    </row>
    <row r="968" ht="14.25" customHeight="1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  <c r="AP968" s="9"/>
      <c r="AQ968" s="9"/>
      <c r="AR968" s="9"/>
      <c r="AS968" s="9"/>
      <c r="AT968" s="9"/>
      <c r="AU968" s="9"/>
      <c r="AV968" s="9"/>
      <c r="AW968" s="9"/>
    </row>
    <row r="969" ht="14.25" customHeight="1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9"/>
      <c r="AO969" s="9"/>
      <c r="AP969" s="9"/>
      <c r="AQ969" s="9"/>
      <c r="AR969" s="9"/>
      <c r="AS969" s="9"/>
      <c r="AT969" s="9"/>
      <c r="AU969" s="9"/>
      <c r="AV969" s="9"/>
      <c r="AW969" s="9"/>
    </row>
    <row r="970" ht="14.25" customHeight="1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9"/>
      <c r="AP970" s="9"/>
      <c r="AQ970" s="9"/>
      <c r="AR970" s="9"/>
      <c r="AS970" s="9"/>
      <c r="AT970" s="9"/>
      <c r="AU970" s="9"/>
      <c r="AV970" s="9"/>
      <c r="AW970" s="9"/>
    </row>
    <row r="971" ht="14.25" customHeight="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9"/>
      <c r="AO971" s="9"/>
      <c r="AP971" s="9"/>
      <c r="AQ971" s="9"/>
      <c r="AR971" s="9"/>
      <c r="AS971" s="9"/>
      <c r="AT971" s="9"/>
      <c r="AU971" s="9"/>
      <c r="AV971" s="9"/>
      <c r="AW971" s="9"/>
    </row>
    <row r="972" ht="14.25" customHeight="1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9"/>
      <c r="AN972" s="9"/>
      <c r="AO972" s="9"/>
      <c r="AP972" s="9"/>
      <c r="AQ972" s="9"/>
      <c r="AR972" s="9"/>
      <c r="AS972" s="9"/>
      <c r="AT972" s="9"/>
      <c r="AU972" s="9"/>
      <c r="AV972" s="9"/>
      <c r="AW972" s="9"/>
    </row>
    <row r="973" ht="14.25" customHeight="1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9"/>
      <c r="AP973" s="9"/>
      <c r="AQ973" s="9"/>
      <c r="AR973" s="9"/>
      <c r="AS973" s="9"/>
      <c r="AT973" s="9"/>
      <c r="AU973" s="9"/>
      <c r="AV973" s="9"/>
      <c r="AW973" s="9"/>
    </row>
    <row r="974" ht="14.25" customHeight="1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9"/>
      <c r="AP974" s="9"/>
      <c r="AQ974" s="9"/>
      <c r="AR974" s="9"/>
      <c r="AS974" s="9"/>
      <c r="AT974" s="9"/>
      <c r="AU974" s="9"/>
      <c r="AV974" s="9"/>
      <c r="AW974" s="9"/>
    </row>
    <row r="975" ht="14.25" customHeight="1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9"/>
      <c r="AO975" s="9"/>
      <c r="AP975" s="9"/>
      <c r="AQ975" s="9"/>
      <c r="AR975" s="9"/>
      <c r="AS975" s="9"/>
      <c r="AT975" s="9"/>
      <c r="AU975" s="9"/>
      <c r="AV975" s="9"/>
      <c r="AW975" s="9"/>
    </row>
    <row r="976" ht="14.25" customHeight="1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9"/>
      <c r="AN976" s="9"/>
      <c r="AO976" s="9"/>
      <c r="AP976" s="9"/>
      <c r="AQ976" s="9"/>
      <c r="AR976" s="9"/>
      <c r="AS976" s="9"/>
      <c r="AT976" s="9"/>
      <c r="AU976" s="9"/>
      <c r="AV976" s="9"/>
      <c r="AW976" s="9"/>
    </row>
    <row r="977" ht="14.25" customHeight="1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9"/>
      <c r="AO977" s="9"/>
      <c r="AP977" s="9"/>
      <c r="AQ977" s="9"/>
      <c r="AR977" s="9"/>
      <c r="AS977" s="9"/>
      <c r="AT977" s="9"/>
      <c r="AU977" s="9"/>
      <c r="AV977" s="9"/>
      <c r="AW977" s="9"/>
    </row>
    <row r="978" ht="14.25" customHeight="1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9"/>
      <c r="AN978" s="9"/>
      <c r="AO978" s="9"/>
      <c r="AP978" s="9"/>
      <c r="AQ978" s="9"/>
      <c r="AR978" s="9"/>
      <c r="AS978" s="9"/>
      <c r="AT978" s="9"/>
      <c r="AU978" s="9"/>
      <c r="AV978" s="9"/>
      <c r="AW978" s="9"/>
    </row>
    <row r="979" ht="14.25" customHeight="1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9"/>
      <c r="AO979" s="9"/>
      <c r="AP979" s="9"/>
      <c r="AQ979" s="9"/>
      <c r="AR979" s="9"/>
      <c r="AS979" s="9"/>
      <c r="AT979" s="9"/>
      <c r="AU979" s="9"/>
      <c r="AV979" s="9"/>
      <c r="AW979" s="9"/>
    </row>
    <row r="980" ht="14.25" customHeight="1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  <c r="AO980" s="9"/>
      <c r="AP980" s="9"/>
      <c r="AQ980" s="9"/>
      <c r="AR980" s="9"/>
      <c r="AS980" s="9"/>
      <c r="AT980" s="9"/>
      <c r="AU980" s="9"/>
      <c r="AV980" s="9"/>
      <c r="AW980" s="9"/>
    </row>
    <row r="981" ht="14.25" customHeight="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9"/>
      <c r="AO981" s="9"/>
      <c r="AP981" s="9"/>
      <c r="AQ981" s="9"/>
      <c r="AR981" s="9"/>
      <c r="AS981" s="9"/>
      <c r="AT981" s="9"/>
      <c r="AU981" s="9"/>
      <c r="AV981" s="9"/>
      <c r="AW981" s="9"/>
    </row>
    <row r="982" ht="14.25" customHeight="1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9"/>
      <c r="AN982" s="9"/>
      <c r="AO982" s="9"/>
      <c r="AP982" s="9"/>
      <c r="AQ982" s="9"/>
      <c r="AR982" s="9"/>
      <c r="AS982" s="9"/>
      <c r="AT982" s="9"/>
      <c r="AU982" s="9"/>
      <c r="AV982" s="9"/>
      <c r="AW982" s="9"/>
    </row>
    <row r="983" ht="14.25" customHeight="1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9"/>
      <c r="AO983" s="9"/>
      <c r="AP983" s="9"/>
      <c r="AQ983" s="9"/>
      <c r="AR983" s="9"/>
      <c r="AS983" s="9"/>
      <c r="AT983" s="9"/>
      <c r="AU983" s="9"/>
      <c r="AV983" s="9"/>
      <c r="AW983" s="9"/>
    </row>
    <row r="984" ht="14.25" customHeight="1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9"/>
      <c r="AN984" s="9"/>
      <c r="AO984" s="9"/>
      <c r="AP984" s="9"/>
      <c r="AQ984" s="9"/>
      <c r="AR984" s="9"/>
      <c r="AS984" s="9"/>
      <c r="AT984" s="9"/>
      <c r="AU984" s="9"/>
      <c r="AV984" s="9"/>
      <c r="AW984" s="9"/>
    </row>
    <row r="985" ht="14.25" customHeight="1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  <c r="AO985" s="9"/>
      <c r="AP985" s="9"/>
      <c r="AQ985" s="9"/>
      <c r="AR985" s="9"/>
      <c r="AS985" s="9"/>
      <c r="AT985" s="9"/>
      <c r="AU985" s="9"/>
      <c r="AV985" s="9"/>
      <c r="AW985" s="9"/>
    </row>
    <row r="986" ht="14.25" customHeight="1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9"/>
      <c r="AP986" s="9"/>
      <c r="AQ986" s="9"/>
      <c r="AR986" s="9"/>
      <c r="AS986" s="9"/>
      <c r="AT986" s="9"/>
      <c r="AU986" s="9"/>
      <c r="AV986" s="9"/>
      <c r="AW986" s="9"/>
    </row>
    <row r="987" ht="14.25" customHeight="1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  <c r="AO987" s="9"/>
      <c r="AP987" s="9"/>
      <c r="AQ987" s="9"/>
      <c r="AR987" s="9"/>
      <c r="AS987" s="9"/>
      <c r="AT987" s="9"/>
      <c r="AU987" s="9"/>
      <c r="AV987" s="9"/>
      <c r="AW987" s="9"/>
    </row>
    <row r="988" ht="14.25" customHeight="1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9"/>
      <c r="AP988" s="9"/>
      <c r="AQ988" s="9"/>
      <c r="AR988" s="9"/>
      <c r="AS988" s="9"/>
      <c r="AT988" s="9"/>
      <c r="AU988" s="9"/>
      <c r="AV988" s="9"/>
      <c r="AW988" s="9"/>
    </row>
    <row r="989" ht="14.25" customHeight="1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9"/>
      <c r="AO989" s="9"/>
      <c r="AP989" s="9"/>
      <c r="AQ989" s="9"/>
      <c r="AR989" s="9"/>
      <c r="AS989" s="9"/>
      <c r="AT989" s="9"/>
      <c r="AU989" s="9"/>
      <c r="AV989" s="9"/>
      <c r="AW989" s="9"/>
    </row>
    <row r="990" ht="14.25" customHeight="1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  <c r="AJ990" s="9"/>
      <c r="AK990" s="9"/>
      <c r="AL990" s="9"/>
      <c r="AM990" s="9"/>
      <c r="AN990" s="9"/>
      <c r="AO990" s="9"/>
      <c r="AP990" s="9"/>
      <c r="AQ990" s="9"/>
      <c r="AR990" s="9"/>
      <c r="AS990" s="9"/>
      <c r="AT990" s="9"/>
      <c r="AU990" s="9"/>
      <c r="AV990" s="9"/>
      <c r="AW990" s="9"/>
    </row>
    <row r="991" ht="14.25" customHeight="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9"/>
      <c r="AO991" s="9"/>
      <c r="AP991" s="9"/>
      <c r="AQ991" s="9"/>
      <c r="AR991" s="9"/>
      <c r="AS991" s="9"/>
      <c r="AT991" s="9"/>
      <c r="AU991" s="9"/>
      <c r="AV991" s="9"/>
      <c r="AW991" s="9"/>
    </row>
    <row r="992" ht="14.25" customHeight="1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  <c r="AJ992" s="9"/>
      <c r="AK992" s="9"/>
      <c r="AL992" s="9"/>
      <c r="AM992" s="9"/>
      <c r="AN992" s="9"/>
      <c r="AO992" s="9"/>
      <c r="AP992" s="9"/>
      <c r="AQ992" s="9"/>
      <c r="AR992" s="9"/>
      <c r="AS992" s="9"/>
      <c r="AT992" s="9"/>
      <c r="AU992" s="9"/>
      <c r="AV992" s="9"/>
      <c r="AW992" s="9"/>
    </row>
    <row r="993" ht="14.25" customHeight="1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9"/>
      <c r="AO993" s="9"/>
      <c r="AP993" s="9"/>
      <c r="AQ993" s="9"/>
      <c r="AR993" s="9"/>
      <c r="AS993" s="9"/>
      <c r="AT993" s="9"/>
      <c r="AU993" s="9"/>
      <c r="AV993" s="9"/>
      <c r="AW993" s="9"/>
    </row>
    <row r="994" ht="14.25" customHeight="1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  <c r="AJ994" s="9"/>
      <c r="AK994" s="9"/>
      <c r="AL994" s="9"/>
      <c r="AM994" s="9"/>
      <c r="AN994" s="9"/>
      <c r="AO994" s="9"/>
      <c r="AP994" s="9"/>
      <c r="AQ994" s="9"/>
      <c r="AR994" s="9"/>
      <c r="AS994" s="9"/>
      <c r="AT994" s="9"/>
      <c r="AU994" s="9"/>
      <c r="AV994" s="9"/>
      <c r="AW994" s="9"/>
    </row>
    <row r="995" ht="14.25" customHeight="1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  <c r="AJ995" s="9"/>
      <c r="AK995" s="9"/>
      <c r="AL995" s="9"/>
      <c r="AM995" s="9"/>
      <c r="AN995" s="9"/>
      <c r="AO995" s="9"/>
      <c r="AP995" s="9"/>
      <c r="AQ995" s="9"/>
      <c r="AR995" s="9"/>
      <c r="AS995" s="9"/>
      <c r="AT995" s="9"/>
      <c r="AU995" s="9"/>
      <c r="AV995" s="9"/>
      <c r="AW995" s="9"/>
    </row>
    <row r="996" ht="14.25" customHeight="1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  <c r="AJ996" s="9"/>
      <c r="AK996" s="9"/>
      <c r="AL996" s="9"/>
      <c r="AM996" s="9"/>
      <c r="AN996" s="9"/>
      <c r="AO996" s="9"/>
      <c r="AP996" s="9"/>
      <c r="AQ996" s="9"/>
      <c r="AR996" s="9"/>
      <c r="AS996" s="9"/>
      <c r="AT996" s="9"/>
      <c r="AU996" s="9"/>
      <c r="AV996" s="9"/>
      <c r="AW996" s="9"/>
    </row>
    <row r="997" ht="14.25" customHeight="1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  <c r="AJ997" s="9"/>
      <c r="AK997" s="9"/>
      <c r="AL997" s="9"/>
      <c r="AM997" s="9"/>
      <c r="AN997" s="9"/>
      <c r="AO997" s="9"/>
      <c r="AP997" s="9"/>
      <c r="AQ997" s="9"/>
      <c r="AR997" s="9"/>
      <c r="AS997" s="9"/>
      <c r="AT997" s="9"/>
      <c r="AU997" s="9"/>
      <c r="AV997" s="9"/>
      <c r="AW997" s="9"/>
    </row>
    <row r="998" ht="14.25" customHeight="1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  <c r="AJ998" s="9"/>
      <c r="AK998" s="9"/>
      <c r="AL998" s="9"/>
      <c r="AM998" s="9"/>
      <c r="AN998" s="9"/>
      <c r="AO998" s="9"/>
      <c r="AP998" s="9"/>
      <c r="AQ998" s="9"/>
      <c r="AR998" s="9"/>
      <c r="AS998" s="9"/>
      <c r="AT998" s="9"/>
      <c r="AU998" s="9"/>
      <c r="AV998" s="9"/>
      <c r="AW998" s="9"/>
    </row>
    <row r="999" ht="14.25" customHeight="1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  <c r="AJ999" s="9"/>
      <c r="AK999" s="9"/>
      <c r="AL999" s="9"/>
      <c r="AM999" s="9"/>
      <c r="AN999" s="9"/>
      <c r="AO999" s="9"/>
      <c r="AP999" s="9"/>
      <c r="AQ999" s="9"/>
      <c r="AR999" s="9"/>
      <c r="AS999" s="9"/>
      <c r="AT999" s="9"/>
      <c r="AU999" s="9"/>
      <c r="AV999" s="9"/>
      <c r="AW999" s="9"/>
    </row>
    <row r="1000" ht="14.25" customHeight="1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  <c r="AJ1000" s="9"/>
      <c r="AK1000" s="9"/>
      <c r="AL1000" s="9"/>
      <c r="AM1000" s="9"/>
      <c r="AN1000" s="9"/>
      <c r="AO1000" s="9"/>
      <c r="AP1000" s="9"/>
      <c r="AQ1000" s="9"/>
      <c r="AR1000" s="9"/>
      <c r="AS1000" s="9"/>
      <c r="AT1000" s="9"/>
      <c r="AU1000" s="9"/>
      <c r="AV1000" s="9"/>
      <c r="AW1000" s="9"/>
    </row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26" width="8.57"/>
  </cols>
  <sheetData>
    <row r="1" ht="14.25" customHeight="1">
      <c r="A1" s="10" t="s">
        <v>125</v>
      </c>
      <c r="B1" s="11"/>
      <c r="C1" s="11"/>
      <c r="D1" s="11"/>
      <c r="E1" s="11"/>
      <c r="F1" s="11"/>
      <c r="G1" s="11"/>
      <c r="H1" s="11"/>
      <c r="I1" s="12"/>
    </row>
    <row r="2" ht="14.25" customHeight="1">
      <c r="A2" s="13"/>
      <c r="I2" s="14"/>
    </row>
    <row r="3" ht="14.25" customHeight="1">
      <c r="A3" s="13"/>
      <c r="I3" s="14"/>
    </row>
    <row r="4" ht="14.25" customHeight="1">
      <c r="A4" s="13"/>
      <c r="I4" s="14"/>
    </row>
    <row r="5" ht="14.25" customHeight="1">
      <c r="A5" s="13"/>
      <c r="I5" s="14"/>
    </row>
    <row r="6" ht="14.25" customHeight="1">
      <c r="A6" s="13"/>
      <c r="I6" s="14"/>
    </row>
    <row r="7" ht="14.25" customHeight="1">
      <c r="A7" s="13"/>
      <c r="I7" s="14"/>
    </row>
    <row r="8" ht="14.25" customHeight="1">
      <c r="A8" s="13"/>
      <c r="I8" s="14"/>
    </row>
    <row r="9" ht="14.25" customHeight="1">
      <c r="A9" s="13"/>
      <c r="I9" s="14"/>
    </row>
    <row r="10" ht="14.25" customHeight="1">
      <c r="A10" s="13"/>
      <c r="I10" s="14"/>
    </row>
    <row r="11" ht="14.25" customHeight="1">
      <c r="A11" s="13"/>
      <c r="I11" s="14"/>
    </row>
    <row r="12" ht="14.25" customHeight="1">
      <c r="A12" s="13"/>
      <c r="I12" s="14"/>
    </row>
    <row r="13" ht="14.25" customHeight="1">
      <c r="A13" s="13"/>
      <c r="I13" s="14"/>
    </row>
    <row r="14" ht="14.25" customHeight="1">
      <c r="A14" s="13"/>
      <c r="I14" s="14"/>
    </row>
    <row r="15" ht="14.25" customHeight="1">
      <c r="A15" s="13"/>
      <c r="I15" s="14"/>
    </row>
    <row r="16" ht="14.25" customHeight="1">
      <c r="A16" s="13"/>
      <c r="I16" s="14"/>
    </row>
    <row r="17" ht="14.25" customHeight="1">
      <c r="A17" s="13"/>
      <c r="I17" s="14"/>
    </row>
    <row r="18" ht="14.25" customHeight="1">
      <c r="A18" s="13"/>
      <c r="I18" s="14"/>
    </row>
    <row r="19" ht="14.25" customHeight="1">
      <c r="A19" s="13"/>
      <c r="I19" s="14"/>
    </row>
    <row r="20" ht="14.25" customHeight="1">
      <c r="A20" s="13"/>
      <c r="I20" s="14"/>
    </row>
    <row r="21" ht="14.25" customHeight="1">
      <c r="A21" s="13"/>
      <c r="I21" s="14"/>
    </row>
    <row r="22" ht="14.25" customHeight="1">
      <c r="A22" s="13"/>
      <c r="I22" s="14"/>
    </row>
    <row r="23" ht="14.25" customHeight="1">
      <c r="A23" s="15"/>
      <c r="B23" s="16"/>
      <c r="C23" s="16"/>
      <c r="D23" s="16"/>
      <c r="E23" s="16"/>
      <c r="F23" s="16"/>
      <c r="G23" s="16"/>
      <c r="H23" s="16"/>
      <c r="I23" s="17"/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A1:I23"/>
  </mergeCells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2.29"/>
    <col customWidth="1" min="3" max="3" width="11.57"/>
    <col customWidth="1" min="4" max="26" width="8.57"/>
  </cols>
  <sheetData>
    <row r="1" ht="14.25" customHeight="1">
      <c r="A1" s="9">
        <v>1.0</v>
      </c>
    </row>
    <row r="2" ht="14.25" customHeight="1">
      <c r="A2" s="9" t="s">
        <v>36</v>
      </c>
    </row>
    <row r="3" ht="14.25" customHeight="1">
      <c r="A3" s="9">
        <v>2.0</v>
      </c>
    </row>
    <row r="4" ht="14.25" customHeight="1">
      <c r="A4" s="9"/>
      <c r="B4" s="18" t="s">
        <v>126</v>
      </c>
      <c r="C4" s="18" t="s">
        <v>30</v>
      </c>
    </row>
    <row r="5" ht="14.25" customHeight="1">
      <c r="A5" s="9"/>
      <c r="B5" s="18" t="str">
        <f>'Previsioni partecipanti'!H1</f>
        <v>Leo Proietti</v>
      </c>
      <c r="C5" s="18">
        <f>'Previsioni partecipanti'!I1</f>
        <v>5</v>
      </c>
    </row>
    <row r="6" ht="14.25" customHeight="1">
      <c r="A6" s="9"/>
      <c r="B6" s="18" t="str">
        <f>'Previsioni partecipanti'!J1</f>
        <v>Jack</v>
      </c>
      <c r="C6" s="18">
        <f>'Previsioni partecipanti'!K1</f>
        <v>3</v>
      </c>
    </row>
    <row r="7" ht="14.25" customHeight="1">
      <c r="A7" s="9"/>
      <c r="B7" s="18" t="str">
        <f>'Previsioni partecipanti'!L1</f>
        <v>Antonella</v>
      </c>
      <c r="C7" s="18">
        <f>'Previsioni partecipanti'!M1</f>
        <v>9</v>
      </c>
    </row>
    <row r="8" ht="14.25" customHeight="1">
      <c r="A8" s="9"/>
      <c r="B8" s="18" t="str">
        <f>'Previsioni partecipanti'!N1</f>
        <v>Vito</v>
      </c>
      <c r="C8" s="18">
        <f>'Previsioni partecipanti'!O1</f>
        <v>5</v>
      </c>
    </row>
    <row r="9" ht="14.25" customHeight="1">
      <c r="A9" s="9"/>
      <c r="B9" s="18" t="str">
        <f>'Previsioni partecipanti'!P1</f>
        <v>Samuele</v>
      </c>
      <c r="C9" s="18">
        <f>'Previsioni partecipanti'!Q1</f>
        <v>8</v>
      </c>
    </row>
    <row r="10" ht="14.25" customHeight="1">
      <c r="A10" s="9"/>
      <c r="B10" s="18" t="str">
        <f>'Previsioni partecipanti'!R1</f>
        <v>Valerio</v>
      </c>
      <c r="C10" s="18">
        <f>'Previsioni partecipanti'!S1</f>
        <v>4</v>
      </c>
    </row>
    <row r="11" ht="14.25" customHeight="1">
      <c r="A11" s="9"/>
      <c r="B11" s="18" t="str">
        <f>'Previsioni partecipanti'!T1</f>
        <v>Edoardo</v>
      </c>
      <c r="C11" s="18">
        <f>'Previsioni partecipanti'!U1</f>
        <v>4</v>
      </c>
    </row>
    <row r="12" ht="14.25" customHeight="1">
      <c r="A12" s="9"/>
      <c r="B12" s="18" t="str">
        <f>'Previsioni partecipanti'!V1</f>
        <v>Tania</v>
      </c>
      <c r="C12" s="18">
        <f>'Previsioni partecipanti'!W1</f>
        <v>6</v>
      </c>
    </row>
    <row r="13" ht="14.25" customHeight="1">
      <c r="A13" s="9"/>
      <c r="B13" s="18" t="str">
        <f>'Previsioni partecipanti'!X1</f>
        <v>Pier</v>
      </c>
      <c r="C13" s="18">
        <f>'Previsioni partecipanti'!Y1</f>
        <v>2</v>
      </c>
    </row>
    <row r="14" ht="14.25" customHeight="1">
      <c r="A14" s="9"/>
      <c r="B14" s="18" t="str">
        <f>'Previsioni partecipanti'!Z1</f>
        <v>Alessandra C.</v>
      </c>
      <c r="C14" s="18">
        <f>'Previsioni partecipanti'!AA1</f>
        <v>4</v>
      </c>
    </row>
    <row r="15" ht="14.25" customHeight="1">
      <c r="A15" s="9"/>
      <c r="B15" s="18" t="str">
        <f>'Previsioni partecipanti'!AB1</f>
        <v>Alessandra P.</v>
      </c>
      <c r="C15" s="18">
        <f>'Previsioni partecipanti'!AC1</f>
        <v>5</v>
      </c>
    </row>
    <row r="16" ht="14.25" customHeight="1">
      <c r="A16" s="9"/>
      <c r="B16" s="18" t="str">
        <f>'Previsioni partecipanti'!AD1</f>
        <v>Claudia A.</v>
      </c>
      <c r="C16" s="18">
        <f>'Previsioni partecipanti'!AE1</f>
        <v>9</v>
      </c>
    </row>
    <row r="17" ht="14.25" customHeight="1">
      <c r="A17" s="9"/>
      <c r="B17" s="18" t="str">
        <f>'Previsioni partecipanti'!AF1</f>
        <v>Marco G.</v>
      </c>
      <c r="C17" s="18">
        <f>'Previsioni partecipanti'!AG1</f>
        <v>4</v>
      </c>
    </row>
    <row r="18" ht="14.25" customHeight="1">
      <c r="A18" s="9"/>
      <c r="B18" s="18" t="str">
        <f>'Previsioni partecipanti'!AH1</f>
        <v>Alessio S.</v>
      </c>
      <c r="C18" s="18">
        <f>'Previsioni partecipanti'!AI1</f>
        <v>3</v>
      </c>
    </row>
    <row r="19" ht="14.25" customHeight="1">
      <c r="A19" s="9"/>
      <c r="B19" s="18" t="str">
        <f>'Previsioni partecipanti'!AJ1</f>
        <v>Alessio R.</v>
      </c>
      <c r="C19" s="18">
        <f>'Previsioni partecipanti'!AK1</f>
        <v>4</v>
      </c>
    </row>
    <row r="20" ht="14.25" customHeight="1">
      <c r="A20" s="9"/>
      <c r="B20" s="18" t="str">
        <f>'Previsioni partecipanti'!AL1</f>
        <v>Marco P.</v>
      </c>
      <c r="C20" s="18">
        <f>'Previsioni partecipanti'!AM1</f>
        <v>6</v>
      </c>
    </row>
    <row r="21" ht="14.25" customHeight="1">
      <c r="A21" s="9"/>
      <c r="B21" s="18" t="str">
        <f>'Previsioni partecipanti'!AN1</f>
        <v>Khawla</v>
      </c>
      <c r="C21" s="18">
        <f>'Previsioni partecipanti'!AO1</f>
        <v>1</v>
      </c>
    </row>
    <row r="22" ht="14.25" customHeight="1">
      <c r="A22" s="9"/>
      <c r="B22" s="18" t="str">
        <f>'Previsioni partecipanti'!AP1</f>
        <v>Federico R.</v>
      </c>
      <c r="C22" s="18">
        <f>'Previsioni partecipanti'!AQ1</f>
        <v>0</v>
      </c>
    </row>
    <row r="23" ht="14.25" customHeight="1">
      <c r="A23" s="9"/>
      <c r="B23" s="18" t="str">
        <f>'Previsioni partecipanti'!AR1</f>
        <v>Claudia S.</v>
      </c>
      <c r="C23" s="18">
        <f>'Previsioni partecipanti'!AS1</f>
        <v>0</v>
      </c>
    </row>
    <row r="24" ht="14.25" customHeight="1">
      <c r="A24" s="9"/>
      <c r="B24" s="18" t="str">
        <f>'Previsioni partecipanti'!AT1</f>
        <v>Leo Policella</v>
      </c>
      <c r="C24" s="18">
        <f>'Previsioni partecipanti'!AU1</f>
        <v>1</v>
      </c>
    </row>
    <row r="25" ht="14.25" customHeight="1">
      <c r="A25" s="9"/>
      <c r="B25" s="18" t="str">
        <f>'Previsioni partecipanti'!AV1</f>
        <v>Maila</v>
      </c>
      <c r="C25" s="18">
        <f>'Previsioni partecipanti'!AW1</f>
        <v>4</v>
      </c>
    </row>
    <row r="26" ht="14.25" customHeight="1">
      <c r="A26" s="9"/>
    </row>
    <row r="27" ht="14.25" customHeight="1">
      <c r="A27" s="9"/>
    </row>
    <row r="28" ht="14.25" customHeight="1">
      <c r="A28" s="9"/>
    </row>
    <row r="29" ht="14.25" customHeight="1">
      <c r="A29" s="9"/>
    </row>
    <row r="30" ht="14.25" customHeight="1">
      <c r="A30" s="9"/>
    </row>
    <row r="31" ht="14.25" customHeight="1">
      <c r="A31" s="9"/>
    </row>
    <row r="32" ht="14.25" customHeight="1">
      <c r="A32" s="9"/>
    </row>
    <row r="33" ht="14.25" customHeight="1">
      <c r="A33" s="9"/>
    </row>
    <row r="34" ht="14.25" customHeight="1">
      <c r="A34" s="9"/>
    </row>
    <row r="35" ht="14.25" customHeight="1">
      <c r="A35" s="9"/>
    </row>
    <row r="36" ht="14.25" customHeight="1">
      <c r="A36" s="9"/>
    </row>
    <row r="37" ht="14.25" customHeight="1">
      <c r="A37" s="9"/>
    </row>
    <row r="38" ht="14.25" customHeight="1">
      <c r="A38" s="9"/>
    </row>
    <row r="39" ht="14.25" customHeight="1">
      <c r="A39" s="9"/>
    </row>
    <row r="40" ht="14.25" customHeight="1">
      <c r="A40" s="9"/>
    </row>
    <row r="41" ht="14.25" customHeight="1">
      <c r="A41" s="9"/>
    </row>
    <row r="42" ht="14.25" customHeight="1">
      <c r="A42" s="9"/>
    </row>
    <row r="43" ht="14.25" customHeight="1">
      <c r="A43" s="9"/>
    </row>
    <row r="44" ht="14.25" customHeight="1">
      <c r="A44" s="9"/>
    </row>
    <row r="45" ht="14.25" customHeight="1">
      <c r="A45" s="9"/>
    </row>
    <row r="46" ht="14.25" customHeight="1">
      <c r="A46" s="9"/>
    </row>
    <row r="47" ht="14.25" customHeight="1">
      <c r="A47" s="9"/>
    </row>
    <row r="48" ht="14.25" customHeight="1">
      <c r="A48" s="9"/>
    </row>
    <row r="49" ht="14.25" customHeight="1">
      <c r="A49" s="9"/>
    </row>
    <row r="50" ht="14.25" customHeight="1">
      <c r="A50" s="9"/>
    </row>
    <row r="51" ht="14.25" customHeight="1">
      <c r="A51" s="9"/>
    </row>
    <row r="52" ht="14.25" customHeight="1">
      <c r="A52" s="9"/>
    </row>
    <row r="53" ht="14.25" customHeight="1">
      <c r="A53" s="9"/>
    </row>
    <row r="54" ht="14.25" customHeight="1">
      <c r="A54" s="9"/>
    </row>
    <row r="55" ht="14.25" customHeight="1">
      <c r="A55" s="9"/>
    </row>
    <row r="56" ht="14.25" customHeight="1">
      <c r="A56" s="9"/>
    </row>
    <row r="57" ht="14.25" customHeight="1">
      <c r="A57" s="9"/>
    </row>
    <row r="58" ht="14.25" customHeight="1">
      <c r="A58" s="9"/>
    </row>
    <row r="59" ht="14.25" customHeight="1">
      <c r="A59" s="9"/>
    </row>
    <row r="60" ht="14.25" customHeight="1">
      <c r="A60" s="9"/>
    </row>
    <row r="61" ht="14.25" customHeight="1">
      <c r="A61" s="9"/>
    </row>
    <row r="62" ht="14.25" customHeight="1">
      <c r="A62" s="9"/>
    </row>
    <row r="63" ht="14.25" customHeight="1">
      <c r="A63" s="9"/>
    </row>
    <row r="64" ht="14.25" customHeight="1">
      <c r="A64" s="9"/>
    </row>
    <row r="65" ht="14.25" customHeight="1">
      <c r="A65" s="9"/>
    </row>
    <row r="66" ht="14.25" customHeight="1">
      <c r="A66" s="9"/>
    </row>
    <row r="67" ht="14.25" customHeight="1">
      <c r="A67" s="9"/>
    </row>
    <row r="68" ht="14.25" customHeight="1">
      <c r="A68" s="9"/>
    </row>
    <row r="69" ht="14.25" customHeight="1">
      <c r="A69" s="9"/>
    </row>
    <row r="70" ht="14.25" customHeight="1">
      <c r="A70" s="9"/>
    </row>
    <row r="71" ht="14.25" customHeight="1">
      <c r="A71" s="9"/>
    </row>
    <row r="72" ht="14.25" customHeight="1">
      <c r="A72" s="9"/>
    </row>
    <row r="73" ht="14.25" customHeight="1">
      <c r="A73" s="9"/>
    </row>
    <row r="74" ht="14.25" customHeight="1">
      <c r="A74" s="9"/>
    </row>
    <row r="75" ht="14.25" customHeight="1">
      <c r="A75" s="9"/>
    </row>
    <row r="76" ht="14.25" customHeight="1">
      <c r="A76" s="9"/>
    </row>
    <row r="77" ht="14.25" customHeight="1">
      <c r="A77" s="9"/>
    </row>
    <row r="78" ht="14.25" customHeight="1">
      <c r="A78" s="9"/>
    </row>
    <row r="79" ht="14.25" customHeight="1">
      <c r="A79" s="9"/>
    </row>
    <row r="80" ht="14.25" customHeight="1">
      <c r="A80" s="9"/>
    </row>
    <row r="81" ht="14.25" customHeight="1">
      <c r="A81" s="9"/>
    </row>
    <row r="82" ht="14.25" customHeight="1">
      <c r="A82" s="9"/>
    </row>
    <row r="83" ht="14.25" customHeight="1">
      <c r="A83" s="9"/>
    </row>
    <row r="84" ht="14.25" customHeight="1">
      <c r="A84" s="9"/>
    </row>
    <row r="85" ht="14.25" customHeight="1">
      <c r="A85" s="9"/>
    </row>
    <row r="86" ht="14.25" customHeight="1">
      <c r="A86" s="9"/>
    </row>
    <row r="87" ht="14.25" customHeight="1">
      <c r="A87" s="9"/>
    </row>
    <row r="88" ht="14.25" customHeight="1">
      <c r="A88" s="9"/>
    </row>
    <row r="89" ht="14.25" customHeight="1">
      <c r="A89" s="9"/>
    </row>
    <row r="90" ht="14.25" customHeight="1">
      <c r="A90" s="9"/>
    </row>
    <row r="91" ht="14.25" customHeight="1">
      <c r="A91" s="9"/>
    </row>
    <row r="92" ht="14.25" customHeight="1">
      <c r="A92" s="9"/>
    </row>
    <row r="93" ht="14.25" customHeight="1">
      <c r="A93" s="9"/>
    </row>
    <row r="94" ht="14.25" customHeight="1">
      <c r="A94" s="9"/>
    </row>
    <row r="95" ht="14.25" customHeight="1">
      <c r="A95" s="9"/>
    </row>
    <row r="96" ht="14.25" customHeight="1">
      <c r="A96" s="9"/>
    </row>
    <row r="97" ht="14.25" customHeight="1">
      <c r="A97" s="9"/>
    </row>
    <row r="98" ht="14.25" customHeight="1">
      <c r="A98" s="9"/>
    </row>
    <row r="99" ht="14.25" customHeight="1">
      <c r="A99" s="9"/>
    </row>
    <row r="100" ht="14.25" customHeight="1">
      <c r="A100" s="9"/>
    </row>
    <row r="101" ht="14.25" customHeight="1">
      <c r="A101" s="9"/>
    </row>
    <row r="102" ht="14.25" customHeight="1">
      <c r="A102" s="9"/>
    </row>
    <row r="103" ht="14.25" customHeight="1">
      <c r="A103" s="9"/>
    </row>
    <row r="104" ht="14.25" customHeight="1">
      <c r="A104" s="9"/>
    </row>
    <row r="105" ht="14.25" customHeight="1">
      <c r="A105" s="9"/>
    </row>
    <row r="106" ht="14.25" customHeight="1">
      <c r="A106" s="9"/>
    </row>
    <row r="107" ht="14.25" customHeight="1">
      <c r="A107" s="9"/>
    </row>
    <row r="108" ht="14.25" customHeight="1">
      <c r="A108" s="9"/>
    </row>
    <row r="109" ht="14.25" customHeight="1">
      <c r="A109" s="9"/>
    </row>
    <row r="110" ht="14.25" customHeight="1">
      <c r="A110" s="9"/>
    </row>
    <row r="111" ht="14.25" customHeight="1">
      <c r="A111" s="9"/>
    </row>
    <row r="112" ht="14.25" customHeight="1">
      <c r="A112" s="9"/>
    </row>
    <row r="113" ht="14.25" customHeight="1">
      <c r="A113" s="9"/>
    </row>
    <row r="114" ht="14.25" customHeight="1">
      <c r="A114" s="9"/>
    </row>
    <row r="115" ht="14.25" customHeight="1">
      <c r="A115" s="9"/>
    </row>
    <row r="116" ht="14.25" customHeight="1">
      <c r="A116" s="9"/>
    </row>
    <row r="117" ht="14.25" customHeight="1">
      <c r="A117" s="9"/>
    </row>
    <row r="118" ht="14.25" customHeight="1">
      <c r="A118" s="9"/>
    </row>
    <row r="119" ht="14.25" customHeight="1">
      <c r="A119" s="9"/>
    </row>
    <row r="120" ht="14.25" customHeight="1">
      <c r="A120" s="9"/>
    </row>
    <row r="121" ht="14.25" customHeight="1">
      <c r="A121" s="9"/>
    </row>
    <row r="122" ht="14.25" customHeight="1">
      <c r="A122" s="9"/>
    </row>
    <row r="123" ht="14.25" customHeight="1">
      <c r="A123" s="9"/>
    </row>
    <row r="124" ht="14.25" customHeight="1">
      <c r="A124" s="9"/>
    </row>
    <row r="125" ht="14.25" customHeight="1">
      <c r="A125" s="9"/>
    </row>
    <row r="126" ht="14.25" customHeight="1">
      <c r="A126" s="9"/>
    </row>
    <row r="127" ht="14.25" customHeight="1">
      <c r="A127" s="9"/>
    </row>
    <row r="128" ht="14.25" customHeight="1">
      <c r="A128" s="9"/>
    </row>
    <row r="129" ht="14.25" customHeight="1">
      <c r="A129" s="9"/>
    </row>
    <row r="130" ht="14.25" customHeight="1">
      <c r="A130" s="9"/>
    </row>
    <row r="131" ht="14.25" customHeight="1">
      <c r="A131" s="9"/>
    </row>
    <row r="132" ht="14.25" customHeight="1">
      <c r="A132" s="9"/>
    </row>
    <row r="133" ht="14.25" customHeight="1">
      <c r="A133" s="9"/>
    </row>
    <row r="134" ht="14.25" customHeight="1">
      <c r="A134" s="9"/>
    </row>
    <row r="135" ht="14.25" customHeight="1">
      <c r="A135" s="9"/>
    </row>
    <row r="136" ht="14.25" customHeight="1">
      <c r="A136" s="9"/>
    </row>
    <row r="137" ht="14.25" customHeight="1">
      <c r="A137" s="9"/>
    </row>
    <row r="138" ht="14.25" customHeight="1">
      <c r="A138" s="9"/>
    </row>
    <row r="139" ht="14.25" customHeight="1">
      <c r="A139" s="9"/>
    </row>
    <row r="140" ht="14.25" customHeight="1">
      <c r="A140" s="9"/>
    </row>
    <row r="141" ht="14.25" customHeight="1">
      <c r="A141" s="9"/>
    </row>
    <row r="142" ht="14.25" customHeight="1">
      <c r="A142" s="9"/>
    </row>
    <row r="143" ht="14.25" customHeight="1">
      <c r="A143" s="9"/>
    </row>
    <row r="144" ht="14.25" customHeight="1">
      <c r="A144" s="9"/>
    </row>
    <row r="145" ht="14.25" customHeight="1">
      <c r="A145" s="9"/>
    </row>
    <row r="146" ht="14.25" customHeight="1">
      <c r="A146" s="9"/>
    </row>
    <row r="147" ht="14.25" customHeight="1">
      <c r="A147" s="9"/>
    </row>
    <row r="148" ht="14.25" customHeight="1">
      <c r="A148" s="9"/>
    </row>
    <row r="149" ht="14.25" customHeight="1">
      <c r="A149" s="9"/>
    </row>
    <row r="150" ht="14.25" customHeight="1">
      <c r="A150" s="9"/>
    </row>
    <row r="151" ht="14.25" customHeight="1">
      <c r="A151" s="9"/>
    </row>
    <row r="152" ht="14.25" customHeight="1">
      <c r="A152" s="9"/>
    </row>
    <row r="153" ht="14.25" customHeight="1">
      <c r="A153" s="9"/>
    </row>
    <row r="154" ht="14.25" customHeight="1">
      <c r="A154" s="9"/>
    </row>
    <row r="155" ht="14.25" customHeight="1">
      <c r="A155" s="9"/>
    </row>
    <row r="156" ht="14.25" customHeight="1">
      <c r="A156" s="9"/>
    </row>
    <row r="157" ht="14.25" customHeight="1">
      <c r="A157" s="9"/>
    </row>
    <row r="158" ht="14.25" customHeight="1">
      <c r="A158" s="9"/>
    </row>
    <row r="159" ht="14.25" customHeight="1">
      <c r="A159" s="9"/>
    </row>
    <row r="160" ht="14.25" customHeight="1">
      <c r="A160" s="9"/>
    </row>
    <row r="161" ht="14.25" customHeight="1">
      <c r="A161" s="9"/>
    </row>
    <row r="162" ht="14.25" customHeight="1">
      <c r="A162" s="9"/>
    </row>
    <row r="163" ht="14.25" customHeight="1">
      <c r="A163" s="9"/>
    </row>
    <row r="164" ht="14.25" customHeight="1">
      <c r="A164" s="9"/>
    </row>
    <row r="165" ht="14.25" customHeight="1">
      <c r="A165" s="9"/>
    </row>
    <row r="166" ht="14.25" customHeight="1">
      <c r="A166" s="9"/>
    </row>
    <row r="167" ht="14.25" customHeight="1">
      <c r="A167" s="9"/>
    </row>
    <row r="168" ht="14.25" customHeight="1">
      <c r="A168" s="9"/>
    </row>
    <row r="169" ht="14.25" customHeight="1">
      <c r="A169" s="9"/>
    </row>
    <row r="170" ht="14.25" customHeight="1">
      <c r="A170" s="9"/>
    </row>
    <row r="171" ht="14.25" customHeight="1">
      <c r="A171" s="9"/>
    </row>
    <row r="172" ht="14.25" customHeight="1">
      <c r="A172" s="9"/>
    </row>
    <row r="173" ht="14.25" customHeight="1">
      <c r="A173" s="9"/>
    </row>
    <row r="174" ht="14.25" customHeight="1">
      <c r="A174" s="9"/>
    </row>
    <row r="175" ht="14.25" customHeight="1">
      <c r="A175" s="9"/>
    </row>
    <row r="176" ht="14.25" customHeight="1">
      <c r="A176" s="9"/>
    </row>
    <row r="177" ht="14.25" customHeight="1">
      <c r="A177" s="9"/>
    </row>
    <row r="178" ht="14.25" customHeight="1">
      <c r="A178" s="9"/>
    </row>
    <row r="179" ht="14.25" customHeight="1">
      <c r="A179" s="9"/>
    </row>
    <row r="180" ht="14.25" customHeight="1">
      <c r="A180" s="9"/>
    </row>
    <row r="181" ht="14.25" customHeight="1">
      <c r="A181" s="9"/>
    </row>
    <row r="182" ht="14.25" customHeight="1">
      <c r="A182" s="9"/>
    </row>
    <row r="183" ht="14.25" customHeight="1">
      <c r="A183" s="9"/>
    </row>
    <row r="184" ht="14.25" customHeight="1">
      <c r="A184" s="9"/>
    </row>
    <row r="185" ht="14.25" customHeight="1">
      <c r="A185" s="9"/>
    </row>
    <row r="186" ht="14.25" customHeight="1">
      <c r="A186" s="9"/>
    </row>
    <row r="187" ht="14.25" customHeight="1">
      <c r="A187" s="9"/>
    </row>
    <row r="188" ht="14.25" customHeight="1">
      <c r="A188" s="9"/>
    </row>
    <row r="189" ht="14.25" customHeight="1">
      <c r="A189" s="9"/>
    </row>
    <row r="190" ht="14.25" customHeight="1">
      <c r="A190" s="9"/>
    </row>
    <row r="191" ht="14.25" customHeight="1">
      <c r="A191" s="9"/>
    </row>
    <row r="192" ht="14.25" customHeight="1">
      <c r="A192" s="9"/>
    </row>
    <row r="193" ht="14.25" customHeight="1">
      <c r="A193" s="9"/>
    </row>
    <row r="194" ht="14.25" customHeight="1">
      <c r="A194" s="9"/>
    </row>
    <row r="195" ht="14.25" customHeight="1">
      <c r="A195" s="9"/>
    </row>
    <row r="196" ht="14.25" customHeight="1">
      <c r="A196" s="9"/>
    </row>
    <row r="197" ht="14.25" customHeight="1">
      <c r="A197" s="9"/>
    </row>
    <row r="198" ht="14.25" customHeight="1">
      <c r="A198" s="9"/>
    </row>
    <row r="199" ht="14.25" customHeight="1">
      <c r="A199" s="9"/>
    </row>
    <row r="200" ht="14.25" customHeight="1">
      <c r="A200" s="9"/>
    </row>
    <row r="201" ht="14.25" customHeight="1">
      <c r="A201" s="9"/>
    </row>
    <row r="202" ht="14.25" customHeight="1">
      <c r="A202" s="9"/>
    </row>
    <row r="203" ht="14.25" customHeight="1">
      <c r="A203" s="9"/>
    </row>
    <row r="204" ht="14.25" customHeight="1">
      <c r="A204" s="9"/>
    </row>
    <row r="205" ht="14.25" customHeight="1">
      <c r="A205" s="9"/>
    </row>
    <row r="206" ht="14.25" customHeight="1">
      <c r="A206" s="9"/>
    </row>
    <row r="207" ht="14.25" customHeight="1">
      <c r="A207" s="9"/>
    </row>
    <row r="208" ht="14.25" customHeight="1">
      <c r="A208" s="9"/>
    </row>
    <row r="209" ht="14.25" customHeight="1">
      <c r="A209" s="9"/>
    </row>
    <row r="210" ht="14.25" customHeight="1">
      <c r="A210" s="9"/>
    </row>
    <row r="211" ht="14.25" customHeight="1">
      <c r="A211" s="9"/>
    </row>
    <row r="212" ht="14.25" customHeight="1">
      <c r="A212" s="9"/>
    </row>
    <row r="213" ht="14.25" customHeight="1">
      <c r="A213" s="9"/>
    </row>
    <row r="214" ht="14.25" customHeight="1">
      <c r="A214" s="9"/>
    </row>
    <row r="215" ht="14.25" customHeight="1">
      <c r="A215" s="9"/>
    </row>
    <row r="216" ht="14.25" customHeight="1">
      <c r="A216" s="9"/>
    </row>
    <row r="217" ht="14.25" customHeight="1">
      <c r="A217" s="9"/>
    </row>
    <row r="218" ht="14.25" customHeight="1">
      <c r="A218" s="9"/>
    </row>
    <row r="219" ht="14.25" customHeight="1">
      <c r="A219" s="9"/>
    </row>
    <row r="220" ht="14.25" customHeight="1">
      <c r="A220" s="9"/>
    </row>
    <row r="221" ht="14.25" customHeight="1">
      <c r="A221" s="9"/>
    </row>
    <row r="222" ht="14.25" customHeight="1">
      <c r="A222" s="9"/>
    </row>
    <row r="223" ht="14.25" customHeight="1">
      <c r="A223" s="9"/>
    </row>
    <row r="224" ht="14.25" customHeight="1">
      <c r="A224" s="9"/>
    </row>
    <row r="225" ht="14.25" customHeight="1">
      <c r="A225" s="9"/>
    </row>
    <row r="226" ht="14.25" customHeight="1">
      <c r="A226" s="9"/>
    </row>
    <row r="227" ht="14.25" customHeight="1">
      <c r="A227" s="9"/>
    </row>
    <row r="228" ht="14.25" customHeight="1">
      <c r="A228" s="9"/>
    </row>
    <row r="229" ht="14.25" customHeight="1">
      <c r="A229" s="9"/>
    </row>
    <row r="230" ht="14.25" customHeight="1">
      <c r="A230" s="9"/>
    </row>
    <row r="231" ht="14.25" customHeight="1">
      <c r="A231" s="9"/>
    </row>
    <row r="232" ht="14.25" customHeight="1">
      <c r="A232" s="9"/>
    </row>
    <row r="233" ht="14.25" customHeight="1">
      <c r="A233" s="9"/>
    </row>
    <row r="234" ht="14.25" customHeight="1">
      <c r="A234" s="9"/>
    </row>
    <row r="235" ht="14.25" customHeight="1">
      <c r="A235" s="9"/>
    </row>
    <row r="236" ht="14.25" customHeight="1">
      <c r="A236" s="9"/>
    </row>
    <row r="237" ht="14.25" customHeight="1">
      <c r="A237" s="9"/>
    </row>
    <row r="238" ht="14.25" customHeight="1">
      <c r="A238" s="9"/>
    </row>
    <row r="239" ht="14.25" customHeight="1">
      <c r="A239" s="9"/>
    </row>
    <row r="240" ht="14.25" customHeight="1">
      <c r="A240" s="9"/>
    </row>
    <row r="241" ht="14.25" customHeight="1">
      <c r="A241" s="9"/>
    </row>
    <row r="242" ht="14.25" customHeight="1">
      <c r="A242" s="9"/>
    </row>
    <row r="243" ht="14.25" customHeight="1">
      <c r="A243" s="9"/>
    </row>
    <row r="244" ht="14.25" customHeight="1">
      <c r="A244" s="9"/>
    </row>
    <row r="245" ht="14.25" customHeight="1">
      <c r="A245" s="9"/>
    </row>
    <row r="246" ht="14.25" customHeight="1">
      <c r="A246" s="9"/>
    </row>
    <row r="247" ht="14.25" customHeight="1">
      <c r="A247" s="9"/>
    </row>
    <row r="248" ht="14.25" customHeight="1">
      <c r="A248" s="9"/>
    </row>
    <row r="249" ht="14.25" customHeight="1">
      <c r="A249" s="9"/>
    </row>
    <row r="250" ht="14.25" customHeight="1">
      <c r="A250" s="9"/>
    </row>
    <row r="251" ht="14.25" customHeight="1">
      <c r="A251" s="9"/>
    </row>
    <row r="252" ht="14.25" customHeight="1">
      <c r="A252" s="9"/>
    </row>
    <row r="253" ht="14.25" customHeight="1">
      <c r="A253" s="9"/>
    </row>
    <row r="254" ht="14.25" customHeight="1">
      <c r="A254" s="9"/>
    </row>
    <row r="255" ht="14.25" customHeight="1">
      <c r="A255" s="9"/>
    </row>
    <row r="256" ht="14.25" customHeight="1">
      <c r="A256" s="9"/>
    </row>
    <row r="257" ht="14.25" customHeight="1">
      <c r="A257" s="9"/>
    </row>
    <row r="258" ht="14.25" customHeight="1">
      <c r="A258" s="9"/>
    </row>
    <row r="259" ht="14.25" customHeight="1">
      <c r="A259" s="9"/>
    </row>
    <row r="260" ht="14.25" customHeight="1">
      <c r="A260" s="9"/>
    </row>
    <row r="261" ht="14.25" customHeight="1">
      <c r="A261" s="9"/>
    </row>
    <row r="262" ht="14.25" customHeight="1">
      <c r="A262" s="9"/>
    </row>
    <row r="263" ht="14.25" customHeight="1">
      <c r="A263" s="9"/>
    </row>
    <row r="264" ht="14.25" customHeight="1">
      <c r="A264" s="9"/>
    </row>
    <row r="265" ht="14.25" customHeight="1">
      <c r="A265" s="9"/>
    </row>
    <row r="266" ht="14.25" customHeight="1">
      <c r="A266" s="9"/>
    </row>
    <row r="267" ht="14.25" customHeight="1">
      <c r="A267" s="9"/>
    </row>
    <row r="268" ht="14.25" customHeight="1">
      <c r="A268" s="9"/>
    </row>
    <row r="269" ht="14.25" customHeight="1">
      <c r="A269" s="9"/>
    </row>
    <row r="270" ht="14.25" customHeight="1">
      <c r="A270" s="9"/>
    </row>
    <row r="271" ht="14.25" customHeight="1">
      <c r="A271" s="9"/>
    </row>
    <row r="272" ht="14.25" customHeight="1">
      <c r="A272" s="9"/>
    </row>
    <row r="273" ht="14.25" customHeight="1">
      <c r="A273" s="9"/>
    </row>
    <row r="274" ht="14.25" customHeight="1">
      <c r="A274" s="9"/>
    </row>
    <row r="275" ht="14.25" customHeight="1">
      <c r="A275" s="9"/>
    </row>
    <row r="276" ht="14.25" customHeight="1">
      <c r="A276" s="9"/>
    </row>
    <row r="277" ht="14.25" customHeight="1">
      <c r="A277" s="9"/>
    </row>
    <row r="278" ht="14.25" customHeight="1">
      <c r="A278" s="9"/>
    </row>
    <row r="279" ht="14.25" customHeight="1">
      <c r="A279" s="9"/>
    </row>
    <row r="280" ht="14.25" customHeight="1">
      <c r="A280" s="9"/>
    </row>
    <row r="281" ht="14.25" customHeight="1">
      <c r="A281" s="9"/>
    </row>
    <row r="282" ht="14.25" customHeight="1">
      <c r="A282" s="9"/>
    </row>
    <row r="283" ht="14.25" customHeight="1">
      <c r="A283" s="9"/>
    </row>
    <row r="284" ht="14.25" customHeight="1">
      <c r="A284" s="9"/>
    </row>
    <row r="285" ht="14.25" customHeight="1">
      <c r="A285" s="9"/>
    </row>
    <row r="286" ht="14.25" customHeight="1">
      <c r="A286" s="9"/>
    </row>
    <row r="287" ht="14.25" customHeight="1">
      <c r="A287" s="9"/>
    </row>
    <row r="288" ht="14.25" customHeight="1">
      <c r="A288" s="9"/>
    </row>
    <row r="289" ht="14.25" customHeight="1">
      <c r="A289" s="9"/>
    </row>
    <row r="290" ht="14.25" customHeight="1">
      <c r="A290" s="9"/>
    </row>
    <row r="291" ht="14.25" customHeight="1">
      <c r="A291" s="9"/>
    </row>
    <row r="292" ht="14.25" customHeight="1">
      <c r="A292" s="9"/>
    </row>
    <row r="293" ht="14.25" customHeight="1">
      <c r="A293" s="9"/>
    </row>
    <row r="294" ht="14.25" customHeight="1">
      <c r="A294" s="9"/>
    </row>
    <row r="295" ht="14.25" customHeight="1">
      <c r="A295" s="9"/>
    </row>
    <row r="296" ht="14.25" customHeight="1">
      <c r="A296" s="9"/>
    </row>
    <row r="297" ht="14.25" customHeight="1">
      <c r="A297" s="9"/>
    </row>
    <row r="298" ht="14.25" customHeight="1">
      <c r="A298" s="9"/>
    </row>
    <row r="299" ht="14.25" customHeight="1">
      <c r="A299" s="9"/>
    </row>
    <row r="300" ht="14.25" customHeight="1">
      <c r="A300" s="9"/>
    </row>
    <row r="301" ht="14.25" customHeight="1">
      <c r="A301" s="9"/>
    </row>
    <row r="302" ht="14.25" customHeight="1">
      <c r="A302" s="9"/>
    </row>
    <row r="303" ht="14.25" customHeight="1">
      <c r="A303" s="9"/>
    </row>
    <row r="304" ht="14.25" customHeight="1">
      <c r="A304" s="9"/>
    </row>
    <row r="305" ht="14.25" customHeight="1">
      <c r="A305" s="9"/>
    </row>
    <row r="306" ht="14.25" customHeight="1">
      <c r="A306" s="9"/>
    </row>
    <row r="307" ht="14.25" customHeight="1">
      <c r="A307" s="9"/>
    </row>
    <row r="308" ht="14.25" customHeight="1">
      <c r="A308" s="9"/>
    </row>
    <row r="309" ht="14.25" customHeight="1">
      <c r="A309" s="9"/>
    </row>
    <row r="310" ht="14.25" customHeight="1">
      <c r="A310" s="9"/>
    </row>
    <row r="311" ht="14.25" customHeight="1">
      <c r="A311" s="9"/>
    </row>
    <row r="312" ht="14.25" customHeight="1">
      <c r="A312" s="9"/>
    </row>
    <row r="313" ht="14.25" customHeight="1">
      <c r="A313" s="9"/>
    </row>
    <row r="314" ht="14.25" customHeight="1">
      <c r="A314" s="9"/>
    </row>
    <row r="315" ht="14.25" customHeight="1">
      <c r="A315" s="9"/>
    </row>
    <row r="316" ht="14.25" customHeight="1">
      <c r="A316" s="9"/>
    </row>
    <row r="317" ht="14.25" customHeight="1">
      <c r="A317" s="9"/>
    </row>
    <row r="318" ht="14.25" customHeight="1">
      <c r="A318" s="9"/>
    </row>
    <row r="319" ht="14.25" customHeight="1">
      <c r="A319" s="9"/>
    </row>
    <row r="320" ht="14.25" customHeight="1">
      <c r="A320" s="9"/>
    </row>
    <row r="321" ht="14.25" customHeight="1">
      <c r="A321" s="9"/>
    </row>
    <row r="322" ht="14.25" customHeight="1">
      <c r="A322" s="9"/>
    </row>
    <row r="323" ht="14.25" customHeight="1">
      <c r="A323" s="9"/>
    </row>
    <row r="324" ht="14.25" customHeight="1">
      <c r="A324" s="9"/>
    </row>
    <row r="325" ht="14.25" customHeight="1">
      <c r="A325" s="9"/>
    </row>
    <row r="326" ht="14.25" customHeight="1">
      <c r="A326" s="9"/>
    </row>
    <row r="327" ht="14.25" customHeight="1">
      <c r="A327" s="9"/>
    </row>
    <row r="328" ht="14.25" customHeight="1">
      <c r="A328" s="9"/>
    </row>
    <row r="329" ht="14.25" customHeight="1">
      <c r="A329" s="9"/>
    </row>
    <row r="330" ht="14.25" customHeight="1">
      <c r="A330" s="9"/>
    </row>
    <row r="331" ht="14.25" customHeight="1">
      <c r="A331" s="9"/>
    </row>
    <row r="332" ht="14.25" customHeight="1">
      <c r="A332" s="9"/>
    </row>
    <row r="333" ht="14.25" customHeight="1">
      <c r="A333" s="9"/>
    </row>
    <row r="334" ht="14.25" customHeight="1">
      <c r="A334" s="9"/>
    </row>
    <row r="335" ht="14.25" customHeight="1">
      <c r="A335" s="9"/>
    </row>
    <row r="336" ht="14.25" customHeight="1">
      <c r="A336" s="9"/>
    </row>
    <row r="337" ht="14.25" customHeight="1">
      <c r="A337" s="9"/>
    </row>
    <row r="338" ht="14.25" customHeight="1">
      <c r="A338" s="9"/>
    </row>
    <row r="339" ht="14.25" customHeight="1">
      <c r="A339" s="9"/>
    </row>
    <row r="340" ht="14.25" customHeight="1">
      <c r="A340" s="9"/>
    </row>
    <row r="341" ht="14.25" customHeight="1">
      <c r="A341" s="9"/>
    </row>
    <row r="342" ht="14.25" customHeight="1">
      <c r="A342" s="9"/>
    </row>
    <row r="343" ht="14.25" customHeight="1">
      <c r="A343" s="9"/>
    </row>
    <row r="344" ht="14.25" customHeight="1">
      <c r="A344" s="9"/>
    </row>
    <row r="345" ht="14.25" customHeight="1">
      <c r="A345" s="9"/>
    </row>
    <row r="346" ht="14.25" customHeight="1">
      <c r="A346" s="9"/>
    </row>
    <row r="347" ht="14.25" customHeight="1">
      <c r="A347" s="9"/>
    </row>
    <row r="348" ht="14.25" customHeight="1">
      <c r="A348" s="9"/>
    </row>
    <row r="349" ht="14.25" customHeight="1">
      <c r="A349" s="9"/>
    </row>
    <row r="350" ht="14.25" customHeight="1">
      <c r="A350" s="9"/>
    </row>
    <row r="351" ht="14.25" customHeight="1">
      <c r="A351" s="9"/>
    </row>
    <row r="352" ht="14.25" customHeight="1">
      <c r="A352" s="9"/>
    </row>
    <row r="353" ht="14.25" customHeight="1">
      <c r="A353" s="9"/>
    </row>
    <row r="354" ht="14.25" customHeight="1">
      <c r="A354" s="9"/>
    </row>
    <row r="355" ht="14.25" customHeight="1">
      <c r="A355" s="9"/>
    </row>
    <row r="356" ht="14.25" customHeight="1">
      <c r="A356" s="9"/>
    </row>
    <row r="357" ht="14.25" customHeight="1">
      <c r="A357" s="9"/>
    </row>
    <row r="358" ht="14.25" customHeight="1">
      <c r="A358" s="9"/>
    </row>
    <row r="359" ht="14.25" customHeight="1">
      <c r="A359" s="9"/>
    </row>
    <row r="360" ht="14.25" customHeight="1">
      <c r="A360" s="9"/>
    </row>
    <row r="361" ht="14.25" customHeight="1">
      <c r="A361" s="9"/>
    </row>
    <row r="362" ht="14.25" customHeight="1">
      <c r="A362" s="9"/>
    </row>
    <row r="363" ht="14.25" customHeight="1">
      <c r="A363" s="9"/>
    </row>
    <row r="364" ht="14.25" customHeight="1">
      <c r="A364" s="9"/>
    </row>
    <row r="365" ht="14.25" customHeight="1">
      <c r="A365" s="9"/>
    </row>
    <row r="366" ht="14.25" customHeight="1">
      <c r="A366" s="9"/>
    </row>
    <row r="367" ht="14.25" customHeight="1">
      <c r="A367" s="9"/>
    </row>
    <row r="368" ht="14.25" customHeight="1">
      <c r="A368" s="9"/>
    </row>
    <row r="369" ht="14.25" customHeight="1">
      <c r="A369" s="9"/>
    </row>
    <row r="370" ht="14.25" customHeight="1">
      <c r="A370" s="9"/>
    </row>
    <row r="371" ht="14.25" customHeight="1">
      <c r="A371" s="9"/>
    </row>
    <row r="372" ht="14.25" customHeight="1">
      <c r="A372" s="9"/>
    </row>
    <row r="373" ht="14.25" customHeight="1">
      <c r="A373" s="9"/>
    </row>
    <row r="374" ht="14.25" customHeight="1">
      <c r="A374" s="9"/>
    </row>
    <row r="375" ht="14.25" customHeight="1">
      <c r="A375" s="9"/>
    </row>
    <row r="376" ht="14.25" customHeight="1">
      <c r="A376" s="9"/>
    </row>
    <row r="377" ht="14.25" customHeight="1">
      <c r="A377" s="9"/>
    </row>
    <row r="378" ht="14.25" customHeight="1">
      <c r="A378" s="9"/>
    </row>
    <row r="379" ht="14.25" customHeight="1">
      <c r="A379" s="9"/>
    </row>
    <row r="380" ht="14.25" customHeight="1">
      <c r="A380" s="9"/>
    </row>
    <row r="381" ht="14.25" customHeight="1">
      <c r="A381" s="9"/>
    </row>
    <row r="382" ht="14.25" customHeight="1">
      <c r="A382" s="9"/>
    </row>
    <row r="383" ht="14.25" customHeight="1">
      <c r="A383" s="9"/>
    </row>
    <row r="384" ht="14.25" customHeight="1">
      <c r="A384" s="9"/>
    </row>
    <row r="385" ht="14.25" customHeight="1">
      <c r="A385" s="9"/>
    </row>
    <row r="386" ht="14.25" customHeight="1">
      <c r="A386" s="9"/>
    </row>
    <row r="387" ht="14.25" customHeight="1">
      <c r="A387" s="9"/>
    </row>
    <row r="388" ht="14.25" customHeight="1">
      <c r="A388" s="9"/>
    </row>
    <row r="389" ht="14.25" customHeight="1">
      <c r="A389" s="9"/>
    </row>
    <row r="390" ht="14.25" customHeight="1">
      <c r="A390" s="9"/>
    </row>
    <row r="391" ht="14.25" customHeight="1">
      <c r="A391" s="9"/>
    </row>
    <row r="392" ht="14.25" customHeight="1">
      <c r="A392" s="9"/>
    </row>
    <row r="393" ht="14.25" customHeight="1">
      <c r="A393" s="9"/>
    </row>
    <row r="394" ht="14.25" customHeight="1">
      <c r="A394" s="9"/>
    </row>
    <row r="395" ht="14.25" customHeight="1">
      <c r="A395" s="9"/>
    </row>
    <row r="396" ht="14.25" customHeight="1">
      <c r="A396" s="9"/>
    </row>
    <row r="397" ht="14.25" customHeight="1">
      <c r="A397" s="9"/>
    </row>
    <row r="398" ht="14.25" customHeight="1">
      <c r="A398" s="9"/>
    </row>
    <row r="399" ht="14.25" customHeight="1">
      <c r="A399" s="9"/>
    </row>
    <row r="400" ht="14.25" customHeight="1">
      <c r="A400" s="9"/>
    </row>
    <row r="401" ht="14.25" customHeight="1">
      <c r="A401" s="9"/>
    </row>
    <row r="402" ht="14.25" customHeight="1">
      <c r="A402" s="9"/>
    </row>
    <row r="403" ht="14.25" customHeight="1">
      <c r="A403" s="9"/>
    </row>
    <row r="404" ht="14.25" customHeight="1">
      <c r="A404" s="9"/>
    </row>
    <row r="405" ht="14.25" customHeight="1">
      <c r="A405" s="9"/>
    </row>
    <row r="406" ht="14.25" customHeight="1">
      <c r="A406" s="9"/>
    </row>
    <row r="407" ht="14.25" customHeight="1">
      <c r="A407" s="9"/>
    </row>
    <row r="408" ht="14.25" customHeight="1">
      <c r="A408" s="9"/>
    </row>
    <row r="409" ht="14.25" customHeight="1">
      <c r="A409" s="9"/>
    </row>
    <row r="410" ht="14.25" customHeight="1">
      <c r="A410" s="9"/>
    </row>
    <row r="411" ht="14.25" customHeight="1">
      <c r="A411" s="9"/>
    </row>
    <row r="412" ht="14.25" customHeight="1">
      <c r="A412" s="9"/>
    </row>
    <row r="413" ht="14.25" customHeight="1">
      <c r="A413" s="9"/>
    </row>
    <row r="414" ht="14.25" customHeight="1">
      <c r="A414" s="9"/>
    </row>
    <row r="415" ht="14.25" customHeight="1">
      <c r="A415" s="9"/>
    </row>
    <row r="416" ht="14.25" customHeight="1">
      <c r="A416" s="9"/>
    </row>
    <row r="417" ht="14.25" customHeight="1">
      <c r="A417" s="9"/>
    </row>
    <row r="418" ht="14.25" customHeight="1">
      <c r="A418" s="9"/>
    </row>
    <row r="419" ht="14.25" customHeight="1">
      <c r="A419" s="9"/>
    </row>
    <row r="420" ht="14.25" customHeight="1">
      <c r="A420" s="9"/>
    </row>
    <row r="421" ht="14.25" customHeight="1">
      <c r="A421" s="9"/>
    </row>
    <row r="422" ht="14.25" customHeight="1">
      <c r="A422" s="9"/>
    </row>
    <row r="423" ht="14.25" customHeight="1">
      <c r="A423" s="9"/>
    </row>
    <row r="424" ht="14.25" customHeight="1">
      <c r="A424" s="9"/>
    </row>
    <row r="425" ht="14.25" customHeight="1">
      <c r="A425" s="9"/>
    </row>
    <row r="426" ht="14.25" customHeight="1">
      <c r="A426" s="9"/>
    </row>
    <row r="427" ht="14.25" customHeight="1">
      <c r="A427" s="9"/>
    </row>
    <row r="428" ht="14.25" customHeight="1">
      <c r="A428" s="9"/>
    </row>
    <row r="429" ht="14.25" customHeight="1">
      <c r="A429" s="9"/>
    </row>
    <row r="430" ht="14.25" customHeight="1">
      <c r="A430" s="9"/>
    </row>
    <row r="431" ht="14.25" customHeight="1">
      <c r="A431" s="9"/>
    </row>
    <row r="432" ht="14.25" customHeight="1">
      <c r="A432" s="9"/>
    </row>
    <row r="433" ht="14.25" customHeight="1">
      <c r="A433" s="9"/>
    </row>
    <row r="434" ht="14.25" customHeight="1">
      <c r="A434" s="9"/>
    </row>
    <row r="435" ht="14.25" customHeight="1">
      <c r="A435" s="9"/>
    </row>
    <row r="436" ht="14.25" customHeight="1">
      <c r="A436" s="9"/>
    </row>
    <row r="437" ht="14.25" customHeight="1">
      <c r="A437" s="9"/>
    </row>
    <row r="438" ht="14.25" customHeight="1">
      <c r="A438" s="9"/>
    </row>
    <row r="439" ht="14.25" customHeight="1">
      <c r="A439" s="9"/>
    </row>
    <row r="440" ht="14.25" customHeight="1">
      <c r="A440" s="9"/>
    </row>
    <row r="441" ht="14.25" customHeight="1">
      <c r="A441" s="9"/>
    </row>
    <row r="442" ht="14.25" customHeight="1">
      <c r="A442" s="9"/>
    </row>
    <row r="443" ht="14.25" customHeight="1">
      <c r="A443" s="9"/>
    </row>
    <row r="444" ht="14.25" customHeight="1">
      <c r="A444" s="9"/>
    </row>
    <row r="445" ht="14.25" customHeight="1">
      <c r="A445" s="9"/>
    </row>
    <row r="446" ht="14.25" customHeight="1">
      <c r="A446" s="9"/>
    </row>
    <row r="447" ht="14.25" customHeight="1">
      <c r="A447" s="9"/>
    </row>
    <row r="448" ht="14.25" customHeight="1">
      <c r="A448" s="9"/>
    </row>
    <row r="449" ht="14.25" customHeight="1">
      <c r="A449" s="9"/>
    </row>
    <row r="450" ht="14.25" customHeight="1">
      <c r="A450" s="9"/>
    </row>
    <row r="451" ht="14.25" customHeight="1">
      <c r="A451" s="9"/>
    </row>
    <row r="452" ht="14.25" customHeight="1">
      <c r="A452" s="9"/>
    </row>
    <row r="453" ht="14.25" customHeight="1">
      <c r="A453" s="9"/>
    </row>
    <row r="454" ht="14.25" customHeight="1">
      <c r="A454" s="9"/>
    </row>
    <row r="455" ht="14.25" customHeight="1">
      <c r="A455" s="9"/>
    </row>
    <row r="456" ht="14.25" customHeight="1">
      <c r="A456" s="9"/>
    </row>
    <row r="457" ht="14.25" customHeight="1">
      <c r="A457" s="9"/>
    </row>
    <row r="458" ht="14.25" customHeight="1">
      <c r="A458" s="9"/>
    </row>
    <row r="459" ht="14.25" customHeight="1">
      <c r="A459" s="9"/>
    </row>
    <row r="460" ht="14.25" customHeight="1">
      <c r="A460" s="9"/>
    </row>
    <row r="461" ht="14.25" customHeight="1">
      <c r="A461" s="9"/>
    </row>
    <row r="462" ht="14.25" customHeight="1">
      <c r="A462" s="9"/>
    </row>
    <row r="463" ht="14.25" customHeight="1">
      <c r="A463" s="9"/>
    </row>
    <row r="464" ht="14.25" customHeight="1">
      <c r="A464" s="9"/>
    </row>
    <row r="465" ht="14.25" customHeight="1">
      <c r="A465" s="9"/>
    </row>
    <row r="466" ht="14.25" customHeight="1">
      <c r="A466" s="9"/>
    </row>
    <row r="467" ht="14.25" customHeight="1">
      <c r="A467" s="9"/>
    </row>
    <row r="468" ht="14.25" customHeight="1">
      <c r="A468" s="9"/>
    </row>
    <row r="469" ht="14.25" customHeight="1">
      <c r="A469" s="9"/>
    </row>
    <row r="470" ht="14.25" customHeight="1">
      <c r="A470" s="9"/>
    </row>
    <row r="471" ht="14.25" customHeight="1">
      <c r="A471" s="9"/>
    </row>
    <row r="472" ht="14.25" customHeight="1">
      <c r="A472" s="9"/>
    </row>
    <row r="473" ht="14.25" customHeight="1">
      <c r="A473" s="9"/>
    </row>
    <row r="474" ht="14.25" customHeight="1">
      <c r="A474" s="9"/>
    </row>
    <row r="475" ht="14.25" customHeight="1">
      <c r="A475" s="9"/>
    </row>
    <row r="476" ht="14.25" customHeight="1">
      <c r="A476" s="9"/>
    </row>
    <row r="477" ht="14.25" customHeight="1">
      <c r="A477" s="9"/>
    </row>
    <row r="478" ht="14.25" customHeight="1">
      <c r="A478" s="9"/>
    </row>
    <row r="479" ht="14.25" customHeight="1">
      <c r="A479" s="9"/>
    </row>
    <row r="480" ht="14.25" customHeight="1">
      <c r="A480" s="9"/>
    </row>
    <row r="481" ht="14.25" customHeight="1">
      <c r="A481" s="9"/>
    </row>
    <row r="482" ht="14.25" customHeight="1">
      <c r="A482" s="9"/>
    </row>
    <row r="483" ht="14.25" customHeight="1">
      <c r="A483" s="9"/>
    </row>
    <row r="484" ht="14.25" customHeight="1">
      <c r="A484" s="9"/>
    </row>
    <row r="485" ht="14.25" customHeight="1">
      <c r="A485" s="9"/>
    </row>
    <row r="486" ht="14.25" customHeight="1">
      <c r="A486" s="9"/>
    </row>
    <row r="487" ht="14.25" customHeight="1">
      <c r="A487" s="9"/>
    </row>
    <row r="488" ht="14.25" customHeight="1">
      <c r="A488" s="9"/>
    </row>
    <row r="489" ht="14.25" customHeight="1">
      <c r="A489" s="9"/>
    </row>
    <row r="490" ht="14.25" customHeight="1">
      <c r="A490" s="9"/>
    </row>
    <row r="491" ht="14.25" customHeight="1">
      <c r="A491" s="9"/>
    </row>
    <row r="492" ht="14.25" customHeight="1">
      <c r="A492" s="9"/>
    </row>
    <row r="493" ht="14.25" customHeight="1">
      <c r="A493" s="9"/>
    </row>
    <row r="494" ht="14.25" customHeight="1">
      <c r="A494" s="9"/>
    </row>
    <row r="495" ht="14.25" customHeight="1">
      <c r="A495" s="9"/>
    </row>
    <row r="496" ht="14.25" customHeight="1">
      <c r="A496" s="9"/>
    </row>
    <row r="497" ht="14.25" customHeight="1">
      <c r="A497" s="9"/>
    </row>
    <row r="498" ht="14.25" customHeight="1">
      <c r="A498" s="9"/>
    </row>
    <row r="499" ht="14.25" customHeight="1">
      <c r="A499" s="9"/>
    </row>
    <row r="500" ht="14.25" customHeight="1">
      <c r="A500" s="9"/>
    </row>
    <row r="501" ht="14.25" customHeight="1">
      <c r="A501" s="9"/>
    </row>
    <row r="502" ht="14.25" customHeight="1">
      <c r="A502" s="9"/>
    </row>
    <row r="503" ht="14.25" customHeight="1">
      <c r="A503" s="9"/>
    </row>
    <row r="504" ht="14.25" customHeight="1">
      <c r="A504" s="9"/>
    </row>
    <row r="505" ht="14.25" customHeight="1">
      <c r="A505" s="9"/>
    </row>
    <row r="506" ht="14.25" customHeight="1">
      <c r="A506" s="9"/>
    </row>
    <row r="507" ht="14.25" customHeight="1">
      <c r="A507" s="9"/>
    </row>
    <row r="508" ht="14.25" customHeight="1">
      <c r="A508" s="9"/>
    </row>
    <row r="509" ht="14.25" customHeight="1">
      <c r="A509" s="9"/>
    </row>
    <row r="510" ht="14.25" customHeight="1">
      <c r="A510" s="9"/>
    </row>
    <row r="511" ht="14.25" customHeight="1">
      <c r="A511" s="9"/>
    </row>
    <row r="512" ht="14.25" customHeight="1">
      <c r="A512" s="9"/>
    </row>
    <row r="513" ht="14.25" customHeight="1">
      <c r="A513" s="9"/>
    </row>
    <row r="514" ht="14.25" customHeight="1">
      <c r="A514" s="9"/>
    </row>
    <row r="515" ht="14.25" customHeight="1">
      <c r="A515" s="9"/>
    </row>
    <row r="516" ht="14.25" customHeight="1">
      <c r="A516" s="9"/>
    </row>
    <row r="517" ht="14.25" customHeight="1">
      <c r="A517" s="9"/>
    </row>
    <row r="518" ht="14.25" customHeight="1">
      <c r="A518" s="9"/>
    </row>
    <row r="519" ht="14.25" customHeight="1">
      <c r="A519" s="9"/>
    </row>
    <row r="520" ht="14.25" customHeight="1">
      <c r="A520" s="9"/>
    </row>
    <row r="521" ht="14.25" customHeight="1">
      <c r="A521" s="9"/>
    </row>
    <row r="522" ht="14.25" customHeight="1">
      <c r="A522" s="9"/>
    </row>
    <row r="523" ht="14.25" customHeight="1">
      <c r="A523" s="9"/>
    </row>
    <row r="524" ht="14.25" customHeight="1">
      <c r="A524" s="9"/>
    </row>
    <row r="525" ht="14.25" customHeight="1">
      <c r="A525" s="9"/>
    </row>
    <row r="526" ht="14.25" customHeight="1">
      <c r="A526" s="9"/>
    </row>
    <row r="527" ht="14.25" customHeight="1">
      <c r="A527" s="9"/>
    </row>
    <row r="528" ht="14.25" customHeight="1">
      <c r="A528" s="9"/>
    </row>
    <row r="529" ht="14.25" customHeight="1">
      <c r="A529" s="9"/>
    </row>
    <row r="530" ht="14.25" customHeight="1">
      <c r="A530" s="9"/>
    </row>
    <row r="531" ht="14.25" customHeight="1">
      <c r="A531" s="9"/>
    </row>
    <row r="532" ht="14.25" customHeight="1">
      <c r="A532" s="9"/>
    </row>
    <row r="533" ht="14.25" customHeight="1">
      <c r="A533" s="9"/>
    </row>
    <row r="534" ht="14.25" customHeight="1">
      <c r="A534" s="9"/>
    </row>
    <row r="535" ht="14.25" customHeight="1">
      <c r="A535" s="9"/>
    </row>
    <row r="536" ht="14.25" customHeight="1">
      <c r="A536" s="9"/>
    </row>
    <row r="537" ht="14.25" customHeight="1">
      <c r="A537" s="9"/>
    </row>
    <row r="538" ht="14.25" customHeight="1">
      <c r="A538" s="9"/>
    </row>
    <row r="539" ht="14.25" customHeight="1">
      <c r="A539" s="9"/>
    </row>
    <row r="540" ht="14.25" customHeight="1">
      <c r="A540" s="9"/>
    </row>
    <row r="541" ht="14.25" customHeight="1">
      <c r="A541" s="9"/>
    </row>
    <row r="542" ht="14.25" customHeight="1">
      <c r="A542" s="9"/>
    </row>
    <row r="543" ht="14.25" customHeight="1">
      <c r="A543" s="9"/>
    </row>
    <row r="544" ht="14.25" customHeight="1">
      <c r="A544" s="9"/>
    </row>
    <row r="545" ht="14.25" customHeight="1">
      <c r="A545" s="9"/>
    </row>
    <row r="546" ht="14.25" customHeight="1">
      <c r="A546" s="9"/>
    </row>
    <row r="547" ht="14.25" customHeight="1">
      <c r="A547" s="9"/>
    </row>
    <row r="548" ht="14.25" customHeight="1">
      <c r="A548" s="9"/>
    </row>
    <row r="549" ht="14.25" customHeight="1">
      <c r="A549" s="9"/>
    </row>
    <row r="550" ht="14.25" customHeight="1">
      <c r="A550" s="9"/>
    </row>
    <row r="551" ht="14.25" customHeight="1">
      <c r="A551" s="9"/>
    </row>
    <row r="552" ht="14.25" customHeight="1">
      <c r="A552" s="9"/>
    </row>
    <row r="553" ht="14.25" customHeight="1">
      <c r="A553" s="9"/>
    </row>
    <row r="554" ht="14.25" customHeight="1">
      <c r="A554" s="9"/>
    </row>
    <row r="555" ht="14.25" customHeight="1">
      <c r="A555" s="9"/>
    </row>
    <row r="556" ht="14.25" customHeight="1">
      <c r="A556" s="9"/>
    </row>
    <row r="557" ht="14.25" customHeight="1">
      <c r="A557" s="9"/>
    </row>
    <row r="558" ht="14.25" customHeight="1">
      <c r="A558" s="9"/>
    </row>
    <row r="559" ht="14.25" customHeight="1">
      <c r="A559" s="9"/>
    </row>
    <row r="560" ht="14.25" customHeight="1">
      <c r="A560" s="9"/>
    </row>
    <row r="561" ht="14.25" customHeight="1">
      <c r="A561" s="9"/>
    </row>
    <row r="562" ht="14.25" customHeight="1">
      <c r="A562" s="9"/>
    </row>
    <row r="563" ht="14.25" customHeight="1">
      <c r="A563" s="9"/>
    </row>
    <row r="564" ht="14.25" customHeight="1">
      <c r="A564" s="9"/>
    </row>
    <row r="565" ht="14.25" customHeight="1">
      <c r="A565" s="9"/>
    </row>
    <row r="566" ht="14.25" customHeight="1">
      <c r="A566" s="9"/>
    </row>
    <row r="567" ht="14.25" customHeight="1">
      <c r="A567" s="9"/>
    </row>
    <row r="568" ht="14.25" customHeight="1">
      <c r="A568" s="9"/>
    </row>
    <row r="569" ht="14.25" customHeight="1">
      <c r="A569" s="9"/>
    </row>
    <row r="570" ht="14.25" customHeight="1">
      <c r="A570" s="9"/>
    </row>
    <row r="571" ht="14.25" customHeight="1">
      <c r="A571" s="9"/>
    </row>
    <row r="572" ht="14.25" customHeight="1">
      <c r="A572" s="9"/>
    </row>
    <row r="573" ht="14.25" customHeight="1">
      <c r="A573" s="9"/>
    </row>
    <row r="574" ht="14.25" customHeight="1">
      <c r="A574" s="9"/>
    </row>
    <row r="575" ht="14.25" customHeight="1">
      <c r="A575" s="9"/>
    </row>
    <row r="576" ht="14.25" customHeight="1">
      <c r="A576" s="9"/>
    </row>
    <row r="577" ht="14.25" customHeight="1">
      <c r="A577" s="9"/>
    </row>
    <row r="578" ht="14.25" customHeight="1">
      <c r="A578" s="9"/>
    </row>
    <row r="579" ht="14.25" customHeight="1">
      <c r="A579" s="9"/>
    </row>
    <row r="580" ht="14.25" customHeight="1">
      <c r="A580" s="9"/>
    </row>
    <row r="581" ht="14.25" customHeight="1">
      <c r="A581" s="9"/>
    </row>
    <row r="582" ht="14.25" customHeight="1">
      <c r="A582" s="9"/>
    </row>
    <row r="583" ht="14.25" customHeight="1">
      <c r="A583" s="9"/>
    </row>
    <row r="584" ht="14.25" customHeight="1">
      <c r="A584" s="9"/>
    </row>
    <row r="585" ht="14.25" customHeight="1">
      <c r="A585" s="9"/>
    </row>
    <row r="586" ht="14.25" customHeight="1">
      <c r="A586" s="9"/>
    </row>
    <row r="587" ht="14.25" customHeight="1">
      <c r="A587" s="9"/>
    </row>
    <row r="588" ht="14.25" customHeight="1">
      <c r="A588" s="9"/>
    </row>
    <row r="589" ht="14.25" customHeight="1">
      <c r="A589" s="9"/>
    </row>
    <row r="590" ht="14.25" customHeight="1">
      <c r="A590" s="9"/>
    </row>
    <row r="591" ht="14.25" customHeight="1">
      <c r="A591" s="9"/>
    </row>
    <row r="592" ht="14.25" customHeight="1">
      <c r="A592" s="9"/>
    </row>
    <row r="593" ht="14.25" customHeight="1">
      <c r="A593" s="9"/>
    </row>
    <row r="594" ht="14.25" customHeight="1">
      <c r="A594" s="9"/>
    </row>
    <row r="595" ht="14.25" customHeight="1">
      <c r="A595" s="9"/>
    </row>
    <row r="596" ht="14.25" customHeight="1">
      <c r="A596" s="9"/>
    </row>
    <row r="597" ht="14.25" customHeight="1">
      <c r="A597" s="9"/>
    </row>
    <row r="598" ht="14.25" customHeight="1">
      <c r="A598" s="9"/>
    </row>
    <row r="599" ht="14.25" customHeight="1">
      <c r="A599" s="9"/>
    </row>
    <row r="600" ht="14.25" customHeight="1">
      <c r="A600" s="9"/>
    </row>
    <row r="601" ht="14.25" customHeight="1">
      <c r="A601" s="9"/>
    </row>
    <row r="602" ht="14.25" customHeight="1">
      <c r="A602" s="9"/>
    </row>
    <row r="603" ht="14.25" customHeight="1">
      <c r="A603" s="9"/>
    </row>
    <row r="604" ht="14.25" customHeight="1">
      <c r="A604" s="9"/>
    </row>
    <row r="605" ht="14.25" customHeight="1">
      <c r="A605" s="9"/>
    </row>
    <row r="606" ht="14.25" customHeight="1">
      <c r="A606" s="9"/>
    </row>
    <row r="607" ht="14.25" customHeight="1">
      <c r="A607" s="9"/>
    </row>
    <row r="608" ht="14.25" customHeight="1">
      <c r="A608" s="9"/>
    </row>
    <row r="609" ht="14.25" customHeight="1">
      <c r="A609" s="9"/>
    </row>
    <row r="610" ht="14.25" customHeight="1">
      <c r="A610" s="9"/>
    </row>
    <row r="611" ht="14.25" customHeight="1">
      <c r="A611" s="9"/>
    </row>
    <row r="612" ht="14.25" customHeight="1">
      <c r="A612" s="9"/>
    </row>
    <row r="613" ht="14.25" customHeight="1">
      <c r="A613" s="9"/>
    </row>
    <row r="614" ht="14.25" customHeight="1">
      <c r="A614" s="9"/>
    </row>
    <row r="615" ht="14.25" customHeight="1">
      <c r="A615" s="9"/>
    </row>
    <row r="616" ht="14.25" customHeight="1">
      <c r="A616" s="9"/>
    </row>
    <row r="617" ht="14.25" customHeight="1">
      <c r="A617" s="9"/>
    </row>
    <row r="618" ht="14.25" customHeight="1">
      <c r="A618" s="9"/>
    </row>
    <row r="619" ht="14.25" customHeight="1">
      <c r="A619" s="9"/>
    </row>
    <row r="620" ht="14.25" customHeight="1">
      <c r="A620" s="9"/>
    </row>
    <row r="621" ht="14.25" customHeight="1">
      <c r="A621" s="9"/>
    </row>
    <row r="622" ht="14.25" customHeight="1">
      <c r="A622" s="9"/>
    </row>
    <row r="623" ht="14.25" customHeight="1">
      <c r="A623" s="9"/>
    </row>
    <row r="624" ht="14.25" customHeight="1">
      <c r="A624" s="9"/>
    </row>
    <row r="625" ht="14.25" customHeight="1">
      <c r="A625" s="9"/>
    </row>
    <row r="626" ht="14.25" customHeight="1">
      <c r="A626" s="9"/>
    </row>
    <row r="627" ht="14.25" customHeight="1">
      <c r="A627" s="9"/>
    </row>
    <row r="628" ht="14.25" customHeight="1">
      <c r="A628" s="9"/>
    </row>
    <row r="629" ht="14.25" customHeight="1">
      <c r="A629" s="9"/>
    </row>
    <row r="630" ht="14.25" customHeight="1">
      <c r="A630" s="9"/>
    </row>
    <row r="631" ht="14.25" customHeight="1">
      <c r="A631" s="9"/>
    </row>
    <row r="632" ht="14.25" customHeight="1">
      <c r="A632" s="9"/>
    </row>
    <row r="633" ht="14.25" customHeight="1">
      <c r="A633" s="9"/>
    </row>
    <row r="634" ht="14.25" customHeight="1">
      <c r="A634" s="9"/>
    </row>
    <row r="635" ht="14.25" customHeight="1">
      <c r="A635" s="9"/>
    </row>
    <row r="636" ht="14.25" customHeight="1">
      <c r="A636" s="9"/>
    </row>
    <row r="637" ht="14.25" customHeight="1">
      <c r="A637" s="9"/>
    </row>
    <row r="638" ht="14.25" customHeight="1">
      <c r="A638" s="9"/>
    </row>
    <row r="639" ht="14.25" customHeight="1">
      <c r="A639" s="9"/>
    </row>
    <row r="640" ht="14.25" customHeight="1">
      <c r="A640" s="9"/>
    </row>
    <row r="641" ht="14.25" customHeight="1">
      <c r="A641" s="9"/>
    </row>
    <row r="642" ht="14.25" customHeight="1">
      <c r="A642" s="9"/>
    </row>
    <row r="643" ht="14.25" customHeight="1">
      <c r="A643" s="9"/>
    </row>
    <row r="644" ht="14.25" customHeight="1">
      <c r="A644" s="9"/>
    </row>
    <row r="645" ht="14.25" customHeight="1">
      <c r="A645" s="9"/>
    </row>
    <row r="646" ht="14.25" customHeight="1">
      <c r="A646" s="9"/>
    </row>
    <row r="647" ht="14.25" customHeight="1">
      <c r="A647" s="9"/>
    </row>
    <row r="648" ht="14.25" customHeight="1">
      <c r="A648" s="9"/>
    </row>
    <row r="649" ht="14.25" customHeight="1">
      <c r="A649" s="9"/>
    </row>
    <row r="650" ht="14.25" customHeight="1">
      <c r="A650" s="9"/>
    </row>
    <row r="651" ht="14.25" customHeight="1">
      <c r="A651" s="9"/>
    </row>
    <row r="652" ht="14.25" customHeight="1">
      <c r="A652" s="9"/>
    </row>
    <row r="653" ht="14.25" customHeight="1">
      <c r="A653" s="9"/>
    </row>
    <row r="654" ht="14.25" customHeight="1">
      <c r="A654" s="9"/>
    </row>
    <row r="655" ht="14.25" customHeight="1">
      <c r="A655" s="9"/>
    </row>
    <row r="656" ht="14.25" customHeight="1">
      <c r="A656" s="9"/>
    </row>
    <row r="657" ht="14.25" customHeight="1">
      <c r="A657" s="9"/>
    </row>
    <row r="658" ht="14.25" customHeight="1">
      <c r="A658" s="9"/>
    </row>
    <row r="659" ht="14.25" customHeight="1">
      <c r="A659" s="9"/>
    </row>
    <row r="660" ht="14.25" customHeight="1">
      <c r="A660" s="9"/>
    </row>
    <row r="661" ht="14.25" customHeight="1">
      <c r="A661" s="9"/>
    </row>
    <row r="662" ht="14.25" customHeight="1">
      <c r="A662" s="9"/>
    </row>
    <row r="663" ht="14.25" customHeight="1">
      <c r="A663" s="9"/>
    </row>
    <row r="664" ht="14.25" customHeight="1">
      <c r="A664" s="9"/>
    </row>
    <row r="665" ht="14.25" customHeight="1">
      <c r="A665" s="9"/>
    </row>
    <row r="666" ht="14.25" customHeight="1">
      <c r="A666" s="9"/>
    </row>
    <row r="667" ht="14.25" customHeight="1">
      <c r="A667" s="9"/>
    </row>
    <row r="668" ht="14.25" customHeight="1">
      <c r="A668" s="9"/>
    </row>
    <row r="669" ht="14.25" customHeight="1">
      <c r="A669" s="9"/>
    </row>
    <row r="670" ht="14.25" customHeight="1">
      <c r="A670" s="9"/>
    </row>
    <row r="671" ht="14.25" customHeight="1">
      <c r="A671" s="9"/>
    </row>
    <row r="672" ht="14.25" customHeight="1">
      <c r="A672" s="9"/>
    </row>
    <row r="673" ht="14.25" customHeight="1">
      <c r="A673" s="9"/>
    </row>
    <row r="674" ht="14.25" customHeight="1">
      <c r="A674" s="9"/>
    </row>
    <row r="675" ht="14.25" customHeight="1">
      <c r="A675" s="9"/>
    </row>
    <row r="676" ht="14.25" customHeight="1">
      <c r="A676" s="9"/>
    </row>
    <row r="677" ht="14.25" customHeight="1">
      <c r="A677" s="9"/>
    </row>
    <row r="678" ht="14.25" customHeight="1">
      <c r="A678" s="9"/>
    </row>
    <row r="679" ht="14.25" customHeight="1">
      <c r="A679" s="9"/>
    </row>
    <row r="680" ht="14.25" customHeight="1">
      <c r="A680" s="9"/>
    </row>
    <row r="681" ht="14.25" customHeight="1">
      <c r="A681" s="9"/>
    </row>
    <row r="682" ht="14.25" customHeight="1">
      <c r="A682" s="9"/>
    </row>
    <row r="683" ht="14.25" customHeight="1">
      <c r="A683" s="9"/>
    </row>
    <row r="684" ht="14.25" customHeight="1">
      <c r="A684" s="9"/>
    </row>
    <row r="685" ht="14.25" customHeight="1">
      <c r="A685" s="9"/>
    </row>
    <row r="686" ht="14.25" customHeight="1">
      <c r="A686" s="9"/>
    </row>
    <row r="687" ht="14.25" customHeight="1">
      <c r="A687" s="9"/>
    </row>
    <row r="688" ht="14.25" customHeight="1">
      <c r="A688" s="9"/>
    </row>
    <row r="689" ht="14.25" customHeight="1">
      <c r="A689" s="9"/>
    </row>
    <row r="690" ht="14.25" customHeight="1">
      <c r="A690" s="9"/>
    </row>
    <row r="691" ht="14.25" customHeight="1">
      <c r="A691" s="9"/>
    </row>
    <row r="692" ht="14.25" customHeight="1">
      <c r="A692" s="9"/>
    </row>
    <row r="693" ht="14.25" customHeight="1">
      <c r="A693" s="9"/>
    </row>
    <row r="694" ht="14.25" customHeight="1">
      <c r="A694" s="9"/>
    </row>
    <row r="695" ht="14.25" customHeight="1">
      <c r="A695" s="9"/>
    </row>
    <row r="696" ht="14.25" customHeight="1">
      <c r="A696" s="9"/>
    </row>
    <row r="697" ht="14.25" customHeight="1">
      <c r="A697" s="9"/>
    </row>
    <row r="698" ht="14.25" customHeight="1">
      <c r="A698" s="9"/>
    </row>
    <row r="699" ht="14.25" customHeight="1">
      <c r="A699" s="9"/>
    </row>
    <row r="700" ht="14.25" customHeight="1">
      <c r="A700" s="9"/>
    </row>
    <row r="701" ht="14.25" customHeight="1">
      <c r="A701" s="9"/>
    </row>
    <row r="702" ht="14.25" customHeight="1">
      <c r="A702" s="9"/>
    </row>
    <row r="703" ht="14.25" customHeight="1">
      <c r="A703" s="9"/>
    </row>
    <row r="704" ht="14.25" customHeight="1">
      <c r="A704" s="9"/>
    </row>
    <row r="705" ht="14.25" customHeight="1">
      <c r="A705" s="9"/>
    </row>
    <row r="706" ht="14.25" customHeight="1">
      <c r="A706" s="9"/>
    </row>
    <row r="707" ht="14.25" customHeight="1">
      <c r="A707" s="9"/>
    </row>
    <row r="708" ht="14.25" customHeight="1">
      <c r="A708" s="9"/>
    </row>
    <row r="709" ht="14.25" customHeight="1">
      <c r="A709" s="9"/>
    </row>
    <row r="710" ht="14.25" customHeight="1">
      <c r="A710" s="9"/>
    </row>
    <row r="711" ht="14.25" customHeight="1">
      <c r="A711" s="9"/>
    </row>
    <row r="712" ht="14.25" customHeight="1">
      <c r="A712" s="9"/>
    </row>
    <row r="713" ht="14.25" customHeight="1">
      <c r="A713" s="9"/>
    </row>
    <row r="714" ht="14.25" customHeight="1">
      <c r="A714" s="9"/>
    </row>
    <row r="715" ht="14.25" customHeight="1">
      <c r="A715" s="9"/>
    </row>
    <row r="716" ht="14.25" customHeight="1">
      <c r="A716" s="9"/>
    </row>
    <row r="717" ht="14.25" customHeight="1">
      <c r="A717" s="9"/>
    </row>
    <row r="718" ht="14.25" customHeight="1">
      <c r="A718" s="9"/>
    </row>
    <row r="719" ht="14.25" customHeight="1">
      <c r="A719" s="9"/>
    </row>
    <row r="720" ht="14.25" customHeight="1">
      <c r="A720" s="9"/>
    </row>
    <row r="721" ht="14.25" customHeight="1">
      <c r="A721" s="9"/>
    </row>
    <row r="722" ht="14.25" customHeight="1">
      <c r="A722" s="9"/>
    </row>
    <row r="723" ht="14.25" customHeight="1">
      <c r="A723" s="9"/>
    </row>
    <row r="724" ht="14.25" customHeight="1">
      <c r="A724" s="9"/>
    </row>
    <row r="725" ht="14.25" customHeight="1">
      <c r="A725" s="9"/>
    </row>
    <row r="726" ht="14.25" customHeight="1">
      <c r="A726" s="9"/>
    </row>
    <row r="727" ht="14.25" customHeight="1">
      <c r="A727" s="9"/>
    </row>
    <row r="728" ht="14.25" customHeight="1">
      <c r="A728" s="9"/>
    </row>
    <row r="729" ht="14.25" customHeight="1">
      <c r="A729" s="9"/>
    </row>
    <row r="730" ht="14.25" customHeight="1">
      <c r="A730" s="9"/>
    </row>
    <row r="731" ht="14.25" customHeight="1">
      <c r="A731" s="9"/>
    </row>
    <row r="732" ht="14.25" customHeight="1">
      <c r="A732" s="9"/>
    </row>
    <row r="733" ht="14.25" customHeight="1">
      <c r="A733" s="9"/>
    </row>
    <row r="734" ht="14.25" customHeight="1">
      <c r="A734" s="9"/>
    </row>
    <row r="735" ht="14.25" customHeight="1">
      <c r="A735" s="9"/>
    </row>
    <row r="736" ht="14.25" customHeight="1">
      <c r="A736" s="9"/>
    </row>
    <row r="737" ht="14.25" customHeight="1">
      <c r="A737" s="9"/>
    </row>
    <row r="738" ht="14.25" customHeight="1">
      <c r="A738" s="9"/>
    </row>
    <row r="739" ht="14.25" customHeight="1">
      <c r="A739" s="9"/>
    </row>
    <row r="740" ht="14.25" customHeight="1">
      <c r="A740" s="9"/>
    </row>
    <row r="741" ht="14.25" customHeight="1">
      <c r="A741" s="9"/>
    </row>
    <row r="742" ht="14.25" customHeight="1">
      <c r="A742" s="9"/>
    </row>
    <row r="743" ht="14.25" customHeight="1">
      <c r="A743" s="9"/>
    </row>
    <row r="744" ht="14.25" customHeight="1">
      <c r="A744" s="9"/>
    </row>
    <row r="745" ht="14.25" customHeight="1">
      <c r="A745" s="9"/>
    </row>
    <row r="746" ht="14.25" customHeight="1">
      <c r="A746" s="9"/>
    </row>
    <row r="747" ht="14.25" customHeight="1">
      <c r="A747" s="9"/>
    </row>
    <row r="748" ht="14.25" customHeight="1">
      <c r="A748" s="9"/>
    </row>
    <row r="749" ht="14.25" customHeight="1">
      <c r="A749" s="9"/>
    </row>
    <row r="750" ht="14.25" customHeight="1">
      <c r="A750" s="9"/>
    </row>
    <row r="751" ht="14.25" customHeight="1">
      <c r="A751" s="9"/>
    </row>
    <row r="752" ht="14.25" customHeight="1">
      <c r="A752" s="9"/>
    </row>
    <row r="753" ht="14.25" customHeight="1">
      <c r="A753" s="9"/>
    </row>
    <row r="754" ht="14.25" customHeight="1">
      <c r="A754" s="9"/>
    </row>
    <row r="755" ht="14.25" customHeight="1">
      <c r="A755" s="9"/>
    </row>
    <row r="756" ht="14.25" customHeight="1">
      <c r="A756" s="9"/>
    </row>
    <row r="757" ht="14.25" customHeight="1">
      <c r="A757" s="9"/>
    </row>
    <row r="758" ht="14.25" customHeight="1">
      <c r="A758" s="9"/>
    </row>
    <row r="759" ht="14.25" customHeight="1">
      <c r="A759" s="9"/>
    </row>
    <row r="760" ht="14.25" customHeight="1">
      <c r="A760" s="9"/>
    </row>
    <row r="761" ht="14.25" customHeight="1">
      <c r="A761" s="9"/>
    </row>
    <row r="762" ht="14.25" customHeight="1">
      <c r="A762" s="9"/>
    </row>
    <row r="763" ht="14.25" customHeight="1">
      <c r="A763" s="9"/>
    </row>
    <row r="764" ht="14.25" customHeight="1">
      <c r="A764" s="9"/>
    </row>
    <row r="765" ht="14.25" customHeight="1">
      <c r="A765" s="9"/>
    </row>
    <row r="766" ht="14.25" customHeight="1">
      <c r="A766" s="9"/>
    </row>
    <row r="767" ht="14.25" customHeight="1">
      <c r="A767" s="9"/>
    </row>
    <row r="768" ht="14.25" customHeight="1">
      <c r="A768" s="9"/>
    </row>
    <row r="769" ht="14.25" customHeight="1">
      <c r="A769" s="9"/>
    </row>
    <row r="770" ht="14.25" customHeight="1">
      <c r="A770" s="9"/>
    </row>
    <row r="771" ht="14.25" customHeight="1">
      <c r="A771" s="9"/>
    </row>
    <row r="772" ht="14.25" customHeight="1">
      <c r="A772" s="9"/>
    </row>
    <row r="773" ht="14.25" customHeight="1">
      <c r="A773" s="9"/>
    </row>
    <row r="774" ht="14.25" customHeight="1">
      <c r="A774" s="9"/>
    </row>
    <row r="775" ht="14.25" customHeight="1">
      <c r="A775" s="9"/>
    </row>
    <row r="776" ht="14.25" customHeight="1">
      <c r="A776" s="9"/>
    </row>
    <row r="777" ht="14.25" customHeight="1">
      <c r="A777" s="9"/>
    </row>
    <row r="778" ht="14.25" customHeight="1">
      <c r="A778" s="9"/>
    </row>
    <row r="779" ht="14.25" customHeight="1">
      <c r="A779" s="9"/>
    </row>
    <row r="780" ht="14.25" customHeight="1">
      <c r="A780" s="9"/>
    </row>
    <row r="781" ht="14.25" customHeight="1">
      <c r="A781" s="9"/>
    </row>
    <row r="782" ht="14.25" customHeight="1">
      <c r="A782" s="9"/>
    </row>
    <row r="783" ht="14.25" customHeight="1">
      <c r="A783" s="9"/>
    </row>
    <row r="784" ht="14.25" customHeight="1">
      <c r="A784" s="9"/>
    </row>
    <row r="785" ht="14.25" customHeight="1">
      <c r="A785" s="9"/>
    </row>
    <row r="786" ht="14.25" customHeight="1">
      <c r="A786" s="9"/>
    </row>
    <row r="787" ht="14.25" customHeight="1">
      <c r="A787" s="9"/>
    </row>
    <row r="788" ht="14.25" customHeight="1">
      <c r="A788" s="9"/>
    </row>
    <row r="789" ht="14.25" customHeight="1">
      <c r="A789" s="9"/>
    </row>
    <row r="790" ht="14.25" customHeight="1">
      <c r="A790" s="9"/>
    </row>
    <row r="791" ht="14.25" customHeight="1">
      <c r="A791" s="9"/>
    </row>
    <row r="792" ht="14.25" customHeight="1">
      <c r="A792" s="9"/>
    </row>
    <row r="793" ht="14.25" customHeight="1">
      <c r="A793" s="9"/>
    </row>
    <row r="794" ht="14.25" customHeight="1">
      <c r="A794" s="9"/>
    </row>
    <row r="795" ht="14.25" customHeight="1">
      <c r="A795" s="9"/>
    </row>
    <row r="796" ht="14.25" customHeight="1">
      <c r="A796" s="9"/>
    </row>
    <row r="797" ht="14.25" customHeight="1">
      <c r="A797" s="9"/>
    </row>
    <row r="798" ht="14.25" customHeight="1">
      <c r="A798" s="9"/>
    </row>
    <row r="799" ht="14.25" customHeight="1">
      <c r="A799" s="9"/>
    </row>
    <row r="800" ht="14.25" customHeight="1">
      <c r="A800" s="9"/>
    </row>
    <row r="801" ht="14.25" customHeight="1">
      <c r="A801" s="9"/>
    </row>
    <row r="802" ht="14.25" customHeight="1">
      <c r="A802" s="9"/>
    </row>
    <row r="803" ht="14.25" customHeight="1">
      <c r="A803" s="9"/>
    </row>
    <row r="804" ht="14.25" customHeight="1">
      <c r="A804" s="9"/>
    </row>
    <row r="805" ht="14.25" customHeight="1">
      <c r="A805" s="9"/>
    </row>
    <row r="806" ht="14.25" customHeight="1">
      <c r="A806" s="9"/>
    </row>
    <row r="807" ht="14.25" customHeight="1">
      <c r="A807" s="9"/>
    </row>
    <row r="808" ht="14.25" customHeight="1">
      <c r="A808" s="9"/>
    </row>
    <row r="809" ht="14.25" customHeight="1">
      <c r="A809" s="9"/>
    </row>
    <row r="810" ht="14.25" customHeight="1">
      <c r="A810" s="9"/>
    </row>
    <row r="811" ht="14.25" customHeight="1">
      <c r="A811" s="9"/>
    </row>
    <row r="812" ht="14.25" customHeight="1">
      <c r="A812" s="9"/>
    </row>
    <row r="813" ht="14.25" customHeight="1">
      <c r="A813" s="9"/>
    </row>
    <row r="814" ht="14.25" customHeight="1">
      <c r="A814" s="9"/>
    </row>
    <row r="815" ht="14.25" customHeight="1">
      <c r="A815" s="9"/>
    </row>
    <row r="816" ht="14.25" customHeight="1">
      <c r="A816" s="9"/>
    </row>
    <row r="817" ht="14.25" customHeight="1">
      <c r="A817" s="9"/>
    </row>
    <row r="818" ht="14.25" customHeight="1">
      <c r="A818" s="9"/>
    </row>
    <row r="819" ht="14.25" customHeight="1">
      <c r="A819" s="9"/>
    </row>
    <row r="820" ht="14.25" customHeight="1">
      <c r="A820" s="9"/>
    </row>
    <row r="821" ht="14.25" customHeight="1">
      <c r="A821" s="9"/>
    </row>
    <row r="822" ht="14.25" customHeight="1">
      <c r="A822" s="9"/>
    </row>
    <row r="823" ht="14.25" customHeight="1">
      <c r="A823" s="9"/>
    </row>
    <row r="824" ht="14.25" customHeight="1">
      <c r="A824" s="9"/>
    </row>
    <row r="825" ht="14.25" customHeight="1">
      <c r="A825" s="9"/>
    </row>
    <row r="826" ht="14.25" customHeight="1">
      <c r="A826" s="9"/>
    </row>
    <row r="827" ht="14.25" customHeight="1">
      <c r="A827" s="9"/>
    </row>
    <row r="828" ht="14.25" customHeight="1">
      <c r="A828" s="9"/>
    </row>
    <row r="829" ht="14.25" customHeight="1">
      <c r="A829" s="9"/>
    </row>
    <row r="830" ht="14.25" customHeight="1">
      <c r="A830" s="9"/>
    </row>
    <row r="831" ht="14.25" customHeight="1">
      <c r="A831" s="9"/>
    </row>
    <row r="832" ht="14.25" customHeight="1">
      <c r="A832" s="9"/>
    </row>
    <row r="833" ht="14.25" customHeight="1">
      <c r="A833" s="9"/>
    </row>
    <row r="834" ht="14.25" customHeight="1">
      <c r="A834" s="9"/>
    </row>
    <row r="835" ht="14.25" customHeight="1">
      <c r="A835" s="9"/>
    </row>
    <row r="836" ht="14.25" customHeight="1">
      <c r="A836" s="9"/>
    </row>
    <row r="837" ht="14.25" customHeight="1">
      <c r="A837" s="9"/>
    </row>
    <row r="838" ht="14.25" customHeight="1">
      <c r="A838" s="9"/>
    </row>
    <row r="839" ht="14.25" customHeight="1">
      <c r="A839" s="9"/>
    </row>
    <row r="840" ht="14.25" customHeight="1">
      <c r="A840" s="9"/>
    </row>
    <row r="841" ht="14.25" customHeight="1">
      <c r="A841" s="9"/>
    </row>
    <row r="842" ht="14.25" customHeight="1">
      <c r="A842" s="9"/>
    </row>
    <row r="843" ht="14.25" customHeight="1">
      <c r="A843" s="9"/>
    </row>
    <row r="844" ht="14.25" customHeight="1">
      <c r="A844" s="9"/>
    </row>
    <row r="845" ht="14.25" customHeight="1">
      <c r="A845" s="9"/>
    </row>
    <row r="846" ht="14.25" customHeight="1">
      <c r="A846" s="9"/>
    </row>
    <row r="847" ht="14.25" customHeight="1">
      <c r="A847" s="9"/>
    </row>
    <row r="848" ht="14.25" customHeight="1">
      <c r="A848" s="9"/>
    </row>
    <row r="849" ht="14.25" customHeight="1">
      <c r="A849" s="9"/>
    </row>
    <row r="850" ht="14.25" customHeight="1">
      <c r="A850" s="9"/>
    </row>
    <row r="851" ht="14.25" customHeight="1">
      <c r="A851" s="9"/>
    </row>
    <row r="852" ht="14.25" customHeight="1">
      <c r="A852" s="9"/>
    </row>
    <row r="853" ht="14.25" customHeight="1">
      <c r="A853" s="9"/>
    </row>
    <row r="854" ht="14.25" customHeight="1">
      <c r="A854" s="9"/>
    </row>
    <row r="855" ht="14.25" customHeight="1">
      <c r="A855" s="9"/>
    </row>
    <row r="856" ht="14.25" customHeight="1">
      <c r="A856" s="9"/>
    </row>
    <row r="857" ht="14.25" customHeight="1">
      <c r="A857" s="9"/>
    </row>
    <row r="858" ht="14.25" customHeight="1">
      <c r="A858" s="9"/>
    </row>
    <row r="859" ht="14.25" customHeight="1">
      <c r="A859" s="9"/>
    </row>
    <row r="860" ht="14.25" customHeight="1">
      <c r="A860" s="9"/>
    </row>
    <row r="861" ht="14.25" customHeight="1">
      <c r="A861" s="9"/>
    </row>
    <row r="862" ht="14.25" customHeight="1">
      <c r="A862" s="9"/>
    </row>
    <row r="863" ht="14.25" customHeight="1">
      <c r="A863" s="9"/>
    </row>
    <row r="864" ht="14.25" customHeight="1">
      <c r="A864" s="9"/>
    </row>
    <row r="865" ht="14.25" customHeight="1">
      <c r="A865" s="9"/>
    </row>
    <row r="866" ht="14.25" customHeight="1">
      <c r="A866" s="9"/>
    </row>
    <row r="867" ht="14.25" customHeight="1">
      <c r="A867" s="9"/>
    </row>
    <row r="868" ht="14.25" customHeight="1">
      <c r="A868" s="9"/>
    </row>
    <row r="869" ht="14.25" customHeight="1">
      <c r="A869" s="9"/>
    </row>
    <row r="870" ht="14.25" customHeight="1">
      <c r="A870" s="9"/>
    </row>
    <row r="871" ht="14.25" customHeight="1">
      <c r="A871" s="9"/>
    </row>
    <row r="872" ht="14.25" customHeight="1">
      <c r="A872" s="9"/>
    </row>
    <row r="873" ht="14.25" customHeight="1">
      <c r="A873" s="9"/>
    </row>
    <row r="874" ht="14.25" customHeight="1">
      <c r="A874" s="9"/>
    </row>
    <row r="875" ht="14.25" customHeight="1">
      <c r="A875" s="9"/>
    </row>
    <row r="876" ht="14.25" customHeight="1">
      <c r="A876" s="9"/>
    </row>
    <row r="877" ht="14.25" customHeight="1">
      <c r="A877" s="9"/>
    </row>
    <row r="878" ht="14.25" customHeight="1">
      <c r="A878" s="9"/>
    </row>
    <row r="879" ht="14.25" customHeight="1">
      <c r="A879" s="9"/>
    </row>
    <row r="880" ht="14.25" customHeight="1">
      <c r="A880" s="9"/>
    </row>
    <row r="881" ht="14.25" customHeight="1">
      <c r="A881" s="9"/>
    </row>
    <row r="882" ht="14.25" customHeight="1">
      <c r="A882" s="9"/>
    </row>
    <row r="883" ht="14.25" customHeight="1">
      <c r="A883" s="9"/>
    </row>
    <row r="884" ht="14.25" customHeight="1">
      <c r="A884" s="9"/>
    </row>
    <row r="885" ht="14.25" customHeight="1">
      <c r="A885" s="9"/>
    </row>
    <row r="886" ht="14.25" customHeight="1">
      <c r="A886" s="9"/>
    </row>
    <row r="887" ht="14.25" customHeight="1">
      <c r="A887" s="9"/>
    </row>
    <row r="888" ht="14.25" customHeight="1">
      <c r="A888" s="9"/>
    </row>
    <row r="889" ht="14.25" customHeight="1">
      <c r="A889" s="9"/>
    </row>
    <row r="890" ht="14.25" customHeight="1">
      <c r="A890" s="9"/>
    </row>
    <row r="891" ht="14.25" customHeight="1">
      <c r="A891" s="9"/>
    </row>
    <row r="892" ht="14.25" customHeight="1">
      <c r="A892" s="9"/>
    </row>
    <row r="893" ht="14.25" customHeight="1">
      <c r="A893" s="9"/>
    </row>
    <row r="894" ht="14.25" customHeight="1">
      <c r="A894" s="9"/>
    </row>
    <row r="895" ht="14.25" customHeight="1">
      <c r="A895" s="9"/>
    </row>
    <row r="896" ht="14.25" customHeight="1">
      <c r="A896" s="9"/>
    </row>
    <row r="897" ht="14.25" customHeight="1">
      <c r="A897" s="9"/>
    </row>
    <row r="898" ht="14.25" customHeight="1">
      <c r="A898" s="9"/>
    </row>
    <row r="899" ht="14.25" customHeight="1">
      <c r="A899" s="9"/>
    </row>
    <row r="900" ht="14.25" customHeight="1">
      <c r="A900" s="9"/>
    </row>
    <row r="901" ht="14.25" customHeight="1">
      <c r="A901" s="9"/>
    </row>
    <row r="902" ht="14.25" customHeight="1">
      <c r="A902" s="9"/>
    </row>
    <row r="903" ht="14.25" customHeight="1">
      <c r="A903" s="9"/>
    </row>
    <row r="904" ht="14.25" customHeight="1">
      <c r="A904" s="9"/>
    </row>
    <row r="905" ht="14.25" customHeight="1">
      <c r="A905" s="9"/>
    </row>
    <row r="906" ht="14.25" customHeight="1">
      <c r="A906" s="9"/>
    </row>
    <row r="907" ht="14.25" customHeight="1">
      <c r="A907" s="9"/>
    </row>
    <row r="908" ht="14.25" customHeight="1">
      <c r="A908" s="9"/>
    </row>
    <row r="909" ht="14.25" customHeight="1">
      <c r="A909" s="9"/>
    </row>
    <row r="910" ht="14.25" customHeight="1">
      <c r="A910" s="9"/>
    </row>
    <row r="911" ht="14.25" customHeight="1">
      <c r="A911" s="9"/>
    </row>
    <row r="912" ht="14.25" customHeight="1">
      <c r="A912" s="9"/>
    </row>
    <row r="913" ht="14.25" customHeight="1">
      <c r="A913" s="9"/>
    </row>
    <row r="914" ht="14.25" customHeight="1">
      <c r="A914" s="9"/>
    </row>
    <row r="915" ht="14.25" customHeight="1">
      <c r="A915" s="9"/>
    </row>
    <row r="916" ht="14.25" customHeight="1">
      <c r="A916" s="9"/>
    </row>
    <row r="917" ht="14.25" customHeight="1">
      <c r="A917" s="9"/>
    </row>
    <row r="918" ht="14.25" customHeight="1">
      <c r="A918" s="9"/>
    </row>
    <row r="919" ht="14.25" customHeight="1">
      <c r="A919" s="9"/>
    </row>
    <row r="920" ht="14.25" customHeight="1">
      <c r="A920" s="9"/>
    </row>
    <row r="921" ht="14.25" customHeight="1">
      <c r="A921" s="9"/>
    </row>
    <row r="922" ht="14.25" customHeight="1">
      <c r="A922" s="9"/>
    </row>
    <row r="923" ht="14.25" customHeight="1">
      <c r="A923" s="9"/>
    </row>
    <row r="924" ht="14.25" customHeight="1">
      <c r="A924" s="9"/>
    </row>
    <row r="925" ht="14.25" customHeight="1">
      <c r="A925" s="9"/>
    </row>
    <row r="926" ht="14.25" customHeight="1">
      <c r="A926" s="9"/>
    </row>
    <row r="927" ht="14.25" customHeight="1">
      <c r="A927" s="9"/>
    </row>
    <row r="928" ht="14.25" customHeight="1">
      <c r="A928" s="9"/>
    </row>
    <row r="929" ht="14.25" customHeight="1">
      <c r="A929" s="9"/>
    </row>
    <row r="930" ht="14.25" customHeight="1">
      <c r="A930" s="9"/>
    </row>
    <row r="931" ht="14.25" customHeight="1">
      <c r="A931" s="9"/>
    </row>
    <row r="932" ht="14.25" customHeight="1">
      <c r="A932" s="9"/>
    </row>
    <row r="933" ht="14.25" customHeight="1">
      <c r="A933" s="9"/>
    </row>
    <row r="934" ht="14.25" customHeight="1">
      <c r="A934" s="9"/>
    </row>
    <row r="935" ht="14.25" customHeight="1">
      <c r="A935" s="9"/>
    </row>
    <row r="936" ht="14.25" customHeight="1">
      <c r="A936" s="9"/>
    </row>
    <row r="937" ht="14.25" customHeight="1">
      <c r="A937" s="9"/>
    </row>
    <row r="938" ht="14.25" customHeight="1">
      <c r="A938" s="9"/>
    </row>
    <row r="939" ht="14.25" customHeight="1">
      <c r="A939" s="9"/>
    </row>
    <row r="940" ht="14.25" customHeight="1">
      <c r="A940" s="9"/>
    </row>
    <row r="941" ht="14.25" customHeight="1">
      <c r="A941" s="9"/>
    </row>
    <row r="942" ht="14.25" customHeight="1">
      <c r="A942" s="9"/>
    </row>
    <row r="943" ht="14.25" customHeight="1">
      <c r="A943" s="9"/>
    </row>
    <row r="944" ht="14.25" customHeight="1">
      <c r="A944" s="9"/>
    </row>
    <row r="945" ht="14.25" customHeight="1">
      <c r="A945" s="9"/>
    </row>
    <row r="946" ht="14.25" customHeight="1">
      <c r="A946" s="9"/>
    </row>
    <row r="947" ht="14.25" customHeight="1">
      <c r="A947" s="9"/>
    </row>
    <row r="948" ht="14.25" customHeight="1">
      <c r="A948" s="9"/>
    </row>
    <row r="949" ht="14.25" customHeight="1">
      <c r="A949" s="9"/>
    </row>
    <row r="950" ht="14.25" customHeight="1">
      <c r="A950" s="9"/>
    </row>
    <row r="951" ht="14.25" customHeight="1">
      <c r="A951" s="9"/>
    </row>
    <row r="952" ht="14.25" customHeight="1">
      <c r="A952" s="9"/>
    </row>
    <row r="953" ht="14.25" customHeight="1">
      <c r="A953" s="9"/>
    </row>
    <row r="954" ht="14.25" customHeight="1">
      <c r="A954" s="9"/>
    </row>
    <row r="955" ht="14.25" customHeight="1">
      <c r="A955" s="9"/>
    </row>
    <row r="956" ht="14.25" customHeight="1">
      <c r="A956" s="9"/>
    </row>
    <row r="957" ht="14.25" customHeight="1">
      <c r="A957" s="9"/>
    </row>
    <row r="958" ht="14.25" customHeight="1">
      <c r="A958" s="9"/>
    </row>
    <row r="959" ht="14.25" customHeight="1">
      <c r="A959" s="9"/>
    </row>
    <row r="960" ht="14.25" customHeight="1">
      <c r="A960" s="9"/>
    </row>
    <row r="961" ht="14.25" customHeight="1">
      <c r="A961" s="9"/>
    </row>
    <row r="962" ht="14.25" customHeight="1">
      <c r="A962" s="9"/>
    </row>
    <row r="963" ht="14.25" customHeight="1">
      <c r="A963" s="9"/>
    </row>
    <row r="964" ht="14.25" customHeight="1">
      <c r="A964" s="9"/>
    </row>
    <row r="965" ht="14.25" customHeight="1">
      <c r="A965" s="9"/>
    </row>
    <row r="966" ht="14.25" customHeight="1">
      <c r="A966" s="9"/>
    </row>
    <row r="967" ht="14.25" customHeight="1">
      <c r="A967" s="9"/>
    </row>
    <row r="968" ht="14.25" customHeight="1">
      <c r="A968" s="9"/>
    </row>
    <row r="969" ht="14.25" customHeight="1">
      <c r="A969" s="9"/>
    </row>
    <row r="970" ht="14.25" customHeight="1">
      <c r="A970" s="9"/>
    </row>
    <row r="971" ht="14.25" customHeight="1">
      <c r="A971" s="9"/>
    </row>
    <row r="972" ht="14.25" customHeight="1">
      <c r="A972" s="9"/>
    </row>
    <row r="973" ht="14.25" customHeight="1">
      <c r="A973" s="9"/>
    </row>
    <row r="974" ht="14.25" customHeight="1">
      <c r="A974" s="9"/>
    </row>
    <row r="975" ht="14.25" customHeight="1">
      <c r="A975" s="9"/>
    </row>
    <row r="976" ht="14.25" customHeight="1">
      <c r="A976" s="9"/>
    </row>
    <row r="977" ht="14.25" customHeight="1">
      <c r="A977" s="9"/>
    </row>
    <row r="978" ht="14.25" customHeight="1">
      <c r="A978" s="9"/>
    </row>
    <row r="979" ht="14.25" customHeight="1">
      <c r="A979" s="9"/>
    </row>
    <row r="980" ht="14.25" customHeight="1">
      <c r="A980" s="9"/>
    </row>
    <row r="981" ht="14.25" customHeight="1">
      <c r="A981" s="9"/>
    </row>
    <row r="982" ht="14.25" customHeight="1">
      <c r="A982" s="9"/>
    </row>
    <row r="983" ht="14.25" customHeight="1">
      <c r="A983" s="9"/>
    </row>
    <row r="984" ht="14.25" customHeight="1">
      <c r="A984" s="9"/>
    </row>
    <row r="985" ht="14.25" customHeight="1">
      <c r="A985" s="9"/>
    </row>
    <row r="986" ht="14.25" customHeight="1">
      <c r="A986" s="9"/>
    </row>
    <row r="987" ht="14.25" customHeight="1">
      <c r="A987" s="9"/>
    </row>
    <row r="988" ht="14.25" customHeight="1">
      <c r="A988" s="9"/>
    </row>
    <row r="989" ht="14.25" customHeight="1">
      <c r="A989" s="9"/>
    </row>
    <row r="990" ht="14.25" customHeight="1">
      <c r="A990" s="9"/>
    </row>
    <row r="991" ht="14.25" customHeight="1">
      <c r="A991" s="9"/>
    </row>
    <row r="992" ht="14.25" customHeight="1">
      <c r="A992" s="9"/>
    </row>
    <row r="993" ht="14.25" customHeight="1">
      <c r="A993" s="9"/>
    </row>
    <row r="994" ht="14.25" customHeight="1">
      <c r="A994" s="9"/>
    </row>
    <row r="995" ht="14.25" customHeight="1">
      <c r="A995" s="9"/>
    </row>
    <row r="996" ht="14.25" customHeight="1">
      <c r="A996" s="9"/>
    </row>
    <row r="997" ht="14.25" customHeight="1">
      <c r="A997" s="9"/>
    </row>
    <row r="998" ht="14.25" customHeight="1">
      <c r="A998" s="9"/>
    </row>
    <row r="999" ht="14.25" customHeight="1">
      <c r="A999" s="9"/>
    </row>
    <row r="1000" ht="14.25" customHeight="1">
      <c r="A1000" s="9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0.0"/>
    <col customWidth="1" min="4" max="4" width="22.0"/>
    <col customWidth="1" min="5" max="26" width="8.57"/>
  </cols>
  <sheetData>
    <row r="1" ht="30.0" customHeight="1">
      <c r="A1" s="19" t="s">
        <v>127</v>
      </c>
    </row>
    <row r="2" ht="21.75" customHeight="1">
      <c r="A2" s="1" t="s">
        <v>128</v>
      </c>
      <c r="B2" s="20" t="s">
        <v>126</v>
      </c>
      <c r="C2" s="1" t="s">
        <v>30</v>
      </c>
      <c r="D2" s="1" t="s">
        <v>129</v>
      </c>
    </row>
    <row r="3" ht="19.5" customHeight="1">
      <c r="A3" s="1">
        <v>1.0</v>
      </c>
      <c r="B3" s="20" t="str">
        <f t="array" ref="B3">IFERROR(INDEX(Elenco!$B$5:$B$25,MATCH(0,COUNTIF($B$2:B2,Elenco!$B$5:$B$25)+IF(Elenco!$C$5:$C$25&lt;&gt;LARGE(Elenco!$C$5:$C$25,1),1,0),0)),"")</f>
        <v>Antonella</v>
      </c>
      <c r="C3" s="1">
        <f t="array" ref="C3">IFERROR(INDEX(Elenco!$C$5:$C$25,MATCH(B3,Elenco!$B$5:$B$25,0)),"")</f>
        <v>9</v>
      </c>
      <c r="D3" s="1" t="s">
        <v>130</v>
      </c>
    </row>
    <row r="4" ht="19.5" customHeight="1">
      <c r="A4" s="1">
        <v>2.0</v>
      </c>
      <c r="B4" s="20" t="str">
        <f t="array" ref="B4">IFERROR(INDEX(Elenco!$B$5:$B$25,MATCH(0,COUNTIF($B$2:B3,Elenco!$B$5:$B$25)+IF(Elenco!$C$5:$C$25&lt;&gt;LARGE(Elenco!$C$5:$C$25,2),1,0),0)),"")</f>
        <v>Claudia A.</v>
      </c>
      <c r="C4" s="1">
        <f t="array" ref="C4">IFERROR(INDEX(Elenco!$C$5:$C$25,MATCH(B4,Elenco!$B$5:$B$25,0)),"")</f>
        <v>9</v>
      </c>
      <c r="D4" s="3"/>
    </row>
    <row r="5" ht="19.5" customHeight="1">
      <c r="A5" s="1">
        <v>3.0</v>
      </c>
      <c r="B5" s="20" t="str">
        <f t="array" ref="B5">IFERROR(INDEX(Elenco!$B$5:$B$25,MATCH(0,COUNTIF($B$2:B4,Elenco!$B$5:$B$25)+IF(Elenco!$C$5:$C$25&lt;&gt;LARGE(Elenco!$C$5:$C$25,3),1,0),0)),"")</f>
        <v>Samuele</v>
      </c>
      <c r="C5" s="1">
        <f t="array" ref="C5">IFERROR(INDEX(Elenco!$C$5:$C$25,MATCH(B5,Elenco!$B$5:$B$25,0)),"")</f>
        <v>8</v>
      </c>
      <c r="D5" s="3"/>
    </row>
    <row r="6" ht="19.5" customHeight="1">
      <c r="A6" s="1">
        <v>4.0</v>
      </c>
      <c r="B6" s="20" t="str">
        <f t="array" ref="B6">IFERROR(INDEX(Elenco!$B$5:$B$25,MATCH(0,COUNTIF($B$2:B5,Elenco!$B$5:$B$25)+IF(Elenco!$C$5:$C$25&lt;&gt;LARGE(Elenco!$C$5:$C$25,4),1,0),0)),"")</f>
        <v>Tania</v>
      </c>
      <c r="C6" s="1">
        <f t="array" ref="C6">IFERROR(INDEX(Elenco!$C$5:$C$25,MATCH(B6,Elenco!$B$5:$B$25,0)),"")</f>
        <v>6</v>
      </c>
      <c r="D6" s="3"/>
    </row>
    <row r="7" ht="19.5" customHeight="1">
      <c r="A7" s="1">
        <v>5.0</v>
      </c>
      <c r="B7" s="20" t="str">
        <f t="array" ref="B7">IFERROR(INDEX(Elenco!$B$5:$B$25,MATCH(0,COUNTIF($B$2:B6,Elenco!$B$5:$B$25)+IF(Elenco!$C$5:$C$25&lt;&gt;LARGE(Elenco!$C$5:$C$25,5),1,0),0)),"")</f>
        <v>Marco P.</v>
      </c>
      <c r="C7" s="1">
        <f t="array" ref="C7">IFERROR(INDEX(Elenco!$C$5:$C$25,MATCH(B7,Elenco!$B$5:$B$25,0)),"")</f>
        <v>6</v>
      </c>
      <c r="D7" s="1"/>
    </row>
    <row r="8" ht="19.5" customHeight="1">
      <c r="A8" s="1">
        <v>6.0</v>
      </c>
      <c r="B8" s="20" t="str">
        <f t="array" ref="B8">IFERROR(INDEX(Elenco!$B$5:$B$25,MATCH(0,COUNTIF($B$2:B7,Elenco!$B$5:$B$25)+IF(Elenco!$C$5:$C$25&lt;&gt;LARGE(Elenco!$C$5:$C$25,6),1,0),0)),"")</f>
        <v>Leo Proietti</v>
      </c>
      <c r="C8" s="1">
        <f t="array" ref="C8">IFERROR(INDEX(Elenco!$C$5:$C$25,MATCH(B8,Elenco!$B$5:$B$25,0)),"")</f>
        <v>5</v>
      </c>
      <c r="D8" s="3"/>
    </row>
    <row r="9" ht="19.5" customHeight="1">
      <c r="A9" s="1">
        <v>7.0</v>
      </c>
      <c r="B9" s="20" t="str">
        <f t="array" ref="B9">IFERROR(INDEX(Elenco!$B$5:$B$25,MATCH(0,COUNTIF($B$2:B8,Elenco!$B$5:$B$25)+IF(Elenco!$C$5:$C$25&lt;&gt;LARGE(Elenco!$C$5:$C$25,7),1,0),0)),"")</f>
        <v>Vito</v>
      </c>
      <c r="C9" s="1">
        <f t="array" ref="C9">IFERROR(INDEX(Elenco!$C$5:$C$25,MATCH(B9,Elenco!$B$5:$B$25,0)),"")</f>
        <v>5</v>
      </c>
      <c r="D9" s="1"/>
    </row>
    <row r="10" ht="19.5" customHeight="1">
      <c r="A10" s="1">
        <v>8.0</v>
      </c>
      <c r="B10" s="20" t="str">
        <f t="array" ref="B10">IFERROR(INDEX(Elenco!$B$5:$B$25,MATCH(0,COUNTIF($B$2:B9,Elenco!$B$5:$B$25)+IF(Elenco!$C$5:$C$25&lt;&gt;LARGE(Elenco!$C$5:$C$25,8),1,0),0)),"")</f>
        <v>Alessandra P.</v>
      </c>
      <c r="C10" s="1">
        <f t="array" ref="C10">IFERROR(INDEX(Elenco!$C$5:$C$25,MATCH(B10,Elenco!$B$5:$B$25,0)),"")</f>
        <v>5</v>
      </c>
      <c r="D10" s="3"/>
    </row>
    <row r="11" ht="19.5" customHeight="1">
      <c r="A11" s="1">
        <v>9.0</v>
      </c>
      <c r="B11" s="20" t="str">
        <f t="array" ref="B11">IFERROR(INDEX(Elenco!$B$5:$B$25,MATCH(0,COUNTIF($B$2:B10,Elenco!$B$5:$B$25)+IF(Elenco!$C$5:$C$25&lt;&gt;LARGE(Elenco!$C$5:$C$25,9),1,0),0)),"")</f>
        <v>Valerio</v>
      </c>
      <c r="C11" s="1">
        <f t="array" ref="C11">IFERROR(INDEX(Elenco!$C$5:$C$25,MATCH(B11,Elenco!$B$5:$B$25,0)),"")</f>
        <v>4</v>
      </c>
      <c r="D11" s="1"/>
    </row>
    <row r="12" ht="19.5" customHeight="1">
      <c r="A12" s="1">
        <v>10.0</v>
      </c>
      <c r="B12" s="20" t="str">
        <f t="array" ref="B12">IFERROR(INDEX(Elenco!$B$5:$B$25,MATCH(0,COUNTIF($B$2:B11,Elenco!$B$5:$B$25)+IF(Elenco!$C$5:$C$25&lt;&gt;LARGE(Elenco!$C$5:$C$25,10),1,0),0)),"")</f>
        <v>Edoardo</v>
      </c>
      <c r="C12" s="1">
        <f t="array" ref="C12">IFERROR(INDEX(Elenco!$C$5:$C$25,MATCH(B12,Elenco!$B$5:$B$25,0)),"")</f>
        <v>4</v>
      </c>
      <c r="D12" s="3"/>
    </row>
    <row r="13" ht="19.5" customHeight="1">
      <c r="A13" s="1">
        <v>11.0</v>
      </c>
      <c r="B13" s="20" t="str">
        <f t="array" ref="B13">IFERROR(INDEX(Elenco!$B$5:$B$25,MATCH(0,COUNTIF($B$2:B12,Elenco!$B$5:$B$25)+IF(Elenco!$C$5:$C$25&lt;&gt;LARGE(Elenco!$C$5:$C$25,11),1,0),0)),"")</f>
        <v>Alessandra C.</v>
      </c>
      <c r="C13" s="1">
        <f t="array" ref="C13">IFERROR(INDEX(Elenco!$C$5:$C$25,MATCH(B13,Elenco!$B$5:$B$25,0)),"")</f>
        <v>4</v>
      </c>
      <c r="D13" s="1"/>
    </row>
    <row r="14" ht="19.5" customHeight="1">
      <c r="A14" s="1">
        <v>12.0</v>
      </c>
      <c r="B14" s="20" t="str">
        <f t="array" ref="B14">IFERROR(INDEX(Elenco!$B$5:$B$25,MATCH(0,COUNTIF($B$2:B13,Elenco!$B$5:$B$25)+IF(Elenco!$C$5:$C$25&lt;&gt;LARGE(Elenco!$C$5:$C$25,12),1,0),0)),"")</f>
        <v>Marco G.</v>
      </c>
      <c r="C14" s="1">
        <f t="array" ref="C14">IFERROR(INDEX(Elenco!$C$5:$C$25,MATCH(B14,Elenco!$B$5:$B$25,0)),"")</f>
        <v>4</v>
      </c>
      <c r="D14" s="3"/>
    </row>
    <row r="15" ht="19.5" customHeight="1">
      <c r="A15" s="1">
        <v>13.0</v>
      </c>
      <c r="B15" s="20" t="str">
        <f t="array" ref="B15">IFERROR(INDEX(Elenco!$B$5:$B$25,MATCH(0,COUNTIF($B$2:B14,Elenco!$B$5:$B$25)+IF(Elenco!$C$5:$C$25&lt;&gt;LARGE(Elenco!$C$5:$C$25,13),1,0),0)),"")</f>
        <v>Alessio R.</v>
      </c>
      <c r="C15" s="1">
        <f t="array" ref="C15">IFERROR(INDEX(Elenco!$C$5:$C$25,MATCH(B15,Elenco!$B$5:$B$25,0)),"")</f>
        <v>4</v>
      </c>
      <c r="D15" s="1"/>
    </row>
    <row r="16" ht="19.5" customHeight="1">
      <c r="A16" s="1">
        <v>14.0</v>
      </c>
      <c r="B16" s="20" t="str">
        <f t="array" ref="B16">IFERROR(INDEX(Elenco!$B$5:$B$25,MATCH(0,COUNTIF($B$2:B15,Elenco!$B$5:$B$25)+IF(Elenco!$C$5:$C$25&lt;&gt;LARGE(Elenco!$C$5:$C$25,14),1,0),0)),"")</f>
        <v>Maila</v>
      </c>
      <c r="C16" s="1">
        <f t="array" ref="C16">IFERROR(INDEX(Elenco!$C$5:$C$25,MATCH(B16,Elenco!$B$5:$B$25,0)),"")</f>
        <v>4</v>
      </c>
      <c r="D16" s="3"/>
    </row>
    <row r="17" ht="19.5" customHeight="1">
      <c r="A17" s="1">
        <v>15.0</v>
      </c>
      <c r="B17" s="20" t="str">
        <f t="array" ref="B17">IFERROR(INDEX(Elenco!$B$5:$B$25,MATCH(0,COUNTIF($B$2:B16,Elenco!$B$5:$B$25)+IF(Elenco!$C$5:$C$25&lt;&gt;LARGE(Elenco!$C$5:$C$25,15),1,0),0)),"")</f>
        <v>Jack</v>
      </c>
      <c r="C17" s="1">
        <f t="array" ref="C17">IFERROR(INDEX(Elenco!$C$5:$C$25,MATCH(B17,Elenco!$B$5:$B$25,0)),"")</f>
        <v>3</v>
      </c>
      <c r="D17" s="1"/>
    </row>
    <row r="18" ht="19.5" customHeight="1">
      <c r="A18" s="1">
        <v>16.0</v>
      </c>
      <c r="B18" s="20" t="str">
        <f t="array" ref="B18">IFERROR(INDEX(Elenco!$B$5:$B$25,MATCH(0,COUNTIF($B$2:B17,Elenco!$B$5:$B$25)+IF(Elenco!$C$5:$C$25&lt;&gt;LARGE(Elenco!$C$5:$C$25,16),1,0),0)),"")</f>
        <v>Alessio S.</v>
      </c>
      <c r="C18" s="1">
        <f t="array" ref="C18">IFERROR(INDEX(Elenco!$C$5:$C$25,MATCH(B18,Elenco!$B$5:$B$25,0)),"")</f>
        <v>3</v>
      </c>
      <c r="D18" s="3"/>
    </row>
    <row r="19" ht="19.5" customHeight="1">
      <c r="A19" s="1">
        <v>17.0</v>
      </c>
      <c r="B19" s="20" t="str">
        <f t="array" ref="B19">IFERROR(INDEX(Elenco!$B$5:$B$25,MATCH(0,COUNTIF($B$2:B18,Elenco!$B$5:$B$25)+IF(Elenco!$C$5:$C$25&lt;&gt;LARGE(Elenco!$C$5:$C$25,17),1,0),0)),"")</f>
        <v>Pier</v>
      </c>
      <c r="C19" s="1">
        <f t="array" ref="C19">IFERROR(INDEX(Elenco!$C$5:$C$25,MATCH(B19,Elenco!$B$5:$B$25,0)),"")</f>
        <v>2</v>
      </c>
      <c r="D19" s="1"/>
    </row>
    <row r="20" ht="19.5" customHeight="1">
      <c r="A20" s="1">
        <v>18.0</v>
      </c>
      <c r="B20" s="20" t="str">
        <f t="array" ref="B20">IFERROR(INDEX(Elenco!$B$5:$B$25,MATCH(0,COUNTIF($B$2:B19,Elenco!$B$5:$B$25)+IF(Elenco!$C$5:$C$25&lt;&gt;LARGE(Elenco!$C$5:$C$25,18),1,0),0)),"")</f>
        <v>Khawla</v>
      </c>
      <c r="C20" s="1">
        <f t="array" ref="C20">IFERROR(INDEX(Elenco!$C$5:$C$25,MATCH(B20,Elenco!$B$5:$B$25,0)),"")</f>
        <v>1</v>
      </c>
      <c r="D20" s="3"/>
    </row>
    <row r="21" ht="19.5" customHeight="1">
      <c r="A21" s="1">
        <v>19.0</v>
      </c>
      <c r="B21" s="20" t="str">
        <f t="array" ref="B21">IFERROR(INDEX(Elenco!$B$5:$B$25,MATCH(0,COUNTIF($B$2:B20,Elenco!$B$5:$B$25)+IF(Elenco!$C$5:$C$25&lt;&gt;LARGE(Elenco!$C$5:$C$25,19),1,0),0)),"")</f>
        <v>Leo Policella</v>
      </c>
      <c r="C21" s="1">
        <f t="array" ref="C21">IFERROR(INDEX(Elenco!$C$5:$C$25,MATCH(B21,Elenco!$B$5:$B$25,0)),"")</f>
        <v>1</v>
      </c>
      <c r="D21" s="1"/>
    </row>
    <row r="22" ht="19.5" customHeight="1">
      <c r="A22" s="1">
        <v>20.0</v>
      </c>
      <c r="B22" s="20" t="str">
        <f t="array" ref="B22">IFERROR(INDEX(Elenco!$B$5:$B$25,MATCH(0,COUNTIF($B$2:B21,Elenco!$B$5:$B$25)+IF(Elenco!$C$5:$C$25&lt;&gt;LARGE(Elenco!$C$5:$C$25,20),1,0),0)),"")</f>
        <v>Federico R.</v>
      </c>
      <c r="C22" s="1">
        <f t="array" ref="C22">IFERROR(INDEX(Elenco!$C$5:$C$25,MATCH(B22,Elenco!$B$5:$B$25,0)),"")</f>
        <v>0</v>
      </c>
      <c r="D22" s="3"/>
    </row>
    <row r="23" ht="19.5" customHeight="1">
      <c r="A23" s="1">
        <v>21.0</v>
      </c>
      <c r="B23" s="20" t="str">
        <f t="array" ref="B23">IFERROR(INDEX(Elenco!$B$5:$B$25,MATCH(0,COUNTIF($B$2:B22,Elenco!$B$5:$B$25)+IF(Elenco!$C$5:$C$25&lt;&gt;LARGE(Elenco!$C$5:$C$25,21),1,0),0)),"")</f>
        <v>Claudia S.</v>
      </c>
      <c r="C23" s="1">
        <f t="array" ref="C23">IFERROR(INDEX(Elenco!$C$5:$C$25,MATCH(B23,Elenco!$B$5:$B$25,0)),"")</f>
        <v>0</v>
      </c>
      <c r="D23" s="1"/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A1:D1"/>
  </mergeCell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2026-06-09T09:48:00Z</dcterms:created>
  <dc:creator>openpyxl</dc:creator>
</cp:coreProperties>
</file>