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evisioni partecipanti" sheetId="1" r:id="rId4"/>
    <sheet state="visible" name="Regolamento" sheetId="2" r:id="rId5"/>
    <sheet state="visible" name="Elenco" sheetId="3" r:id="rId6"/>
    <sheet state="visible" name="Classifica" sheetId="4" r:id="rId7"/>
  </sheets>
  <definedNames/>
  <calcPr/>
  <extLst>
    <ext uri="GoogleSheetsCustomDataVersion2">
      <go:sheetsCustomData xmlns:go="http://customooxmlschemas.google.com/" r:id="rId8" roundtripDataChecksum="zP+DkyfMhx3OrAV7Xl9ttyF5QHnjydStKT6i/ZAf/5c="/>
    </ext>
  </extLst>
</workbook>
</file>

<file path=xl/sharedStrings.xml><?xml version="1.0" encoding="utf-8"?>
<sst xmlns="http://schemas.openxmlformats.org/spreadsheetml/2006/main" count="719" uniqueCount="131">
  <si>
    <t>#</t>
  </si>
  <si>
    <t>Data</t>
  </si>
  <si>
    <t>Orario (IT)</t>
  </si>
  <si>
    <t>Girone</t>
  </si>
  <si>
    <t>Squadra Casa</t>
  </si>
  <si>
    <t>Squadra Ospite</t>
  </si>
  <si>
    <t>Esito</t>
  </si>
  <si>
    <t>Leo Proietti</t>
  </si>
  <si>
    <t>Jack</t>
  </si>
  <si>
    <t>Antonella</t>
  </si>
  <si>
    <t>Vito</t>
  </si>
  <si>
    <t>Samuele</t>
  </si>
  <si>
    <t>Valerio</t>
  </si>
  <si>
    <t>Edoardo</t>
  </si>
  <si>
    <t>Tania</t>
  </si>
  <si>
    <t>Pier</t>
  </si>
  <si>
    <t>Alessandra C.</t>
  </si>
  <si>
    <t>Alessandra P.</t>
  </si>
  <si>
    <t>Claudia A.</t>
  </si>
  <si>
    <t>Marco G.</t>
  </si>
  <si>
    <t>Alessio S.</t>
  </si>
  <si>
    <t>Alessio R.</t>
  </si>
  <si>
    <t>Marco P.</t>
  </si>
  <si>
    <t>Khawla</t>
  </si>
  <si>
    <t>Federico R.</t>
  </si>
  <si>
    <t>Claudia S.</t>
  </si>
  <si>
    <t>Leo Policella</t>
  </si>
  <si>
    <t>Maila</t>
  </si>
  <si>
    <t>ESITO</t>
  </si>
  <si>
    <t>Esito previsto</t>
  </si>
  <si>
    <t>Punti</t>
  </si>
  <si>
    <t>Gio 11 giu</t>
  </si>
  <si>
    <t>21:00</t>
  </si>
  <si>
    <t>Girone A</t>
  </si>
  <si>
    <t>Messico</t>
  </si>
  <si>
    <t>Sudafrica</t>
  </si>
  <si>
    <t>X</t>
  </si>
  <si>
    <t>Ven 12 giu</t>
  </si>
  <si>
    <t>04:00</t>
  </si>
  <si>
    <t>Corea del Sud</t>
  </si>
  <si>
    <t>Repubblica Ceca</t>
  </si>
  <si>
    <t>Girone B</t>
  </si>
  <si>
    <t>Canada</t>
  </si>
  <si>
    <t>Bosnia-Erzegovina</t>
  </si>
  <si>
    <t>Sab 13 giu</t>
  </si>
  <si>
    <t>03:00</t>
  </si>
  <si>
    <t>Girone D</t>
  </si>
  <si>
    <t>Stati Uniti</t>
  </si>
  <si>
    <t>Paraguay</t>
  </si>
  <si>
    <t>x</t>
  </si>
  <si>
    <t>Qatar</t>
  </si>
  <si>
    <t>Svizzera</t>
  </si>
  <si>
    <t>Dom 14 giu</t>
  </si>
  <si>
    <t>24:00</t>
  </si>
  <si>
    <t>Girone C</t>
  </si>
  <si>
    <t>Brasile</t>
  </si>
  <si>
    <t>Marocco</t>
  </si>
  <si>
    <t>Haiti</t>
  </si>
  <si>
    <t>Scozia</t>
  </si>
  <si>
    <t>06:00</t>
  </si>
  <si>
    <t>Australia</t>
  </si>
  <si>
    <t>Turchia</t>
  </si>
  <si>
    <t>19:00</t>
  </si>
  <si>
    <t>Girone E</t>
  </si>
  <si>
    <t>Germania</t>
  </si>
  <si>
    <t>Curaçao</t>
  </si>
  <si>
    <t>22:00</t>
  </si>
  <si>
    <t>Girone F</t>
  </si>
  <si>
    <t>Paesi Bassi</t>
  </si>
  <si>
    <t>Giappone</t>
  </si>
  <si>
    <t>Lun 15 giu</t>
  </si>
  <si>
    <t>01:00</t>
  </si>
  <si>
    <t>Costa d'Avorio</t>
  </si>
  <si>
    <t>Ecuador</t>
  </si>
  <si>
    <t>Svezia</t>
  </si>
  <si>
    <t>Tunisia</t>
  </si>
  <si>
    <t>18:00</t>
  </si>
  <si>
    <t>Girone H</t>
  </si>
  <si>
    <t>Spagna</t>
  </si>
  <si>
    <t>Capo Verde</t>
  </si>
  <si>
    <t>Girone G</t>
  </si>
  <si>
    <t>Belgio</t>
  </si>
  <si>
    <t>Egitto</t>
  </si>
  <si>
    <t>Mar 16 giu</t>
  </si>
  <si>
    <t>Arabia Saudita</t>
  </si>
  <si>
    <t>Uruguay</t>
  </si>
  <si>
    <t>Iran</t>
  </si>
  <si>
    <t>Nuova Zelanda</t>
  </si>
  <si>
    <t>Girone I</t>
  </si>
  <si>
    <t>Francia</t>
  </si>
  <si>
    <t>Senegal</t>
  </si>
  <si>
    <t>Mer 17 giu</t>
  </si>
  <si>
    <t>Iraq</t>
  </si>
  <si>
    <t>Norvegia</t>
  </si>
  <si>
    <t>Girone J</t>
  </si>
  <si>
    <t>Argentina</t>
  </si>
  <si>
    <t>Algeria</t>
  </si>
  <si>
    <t>Austria</t>
  </si>
  <si>
    <t>Giordania</t>
  </si>
  <si>
    <t>Girone K</t>
  </si>
  <si>
    <t>Portogallo</t>
  </si>
  <si>
    <t>R. D. del Congo</t>
  </si>
  <si>
    <t>Girone L</t>
  </si>
  <si>
    <t>Inghilterra</t>
  </si>
  <si>
    <t>Croazia</t>
  </si>
  <si>
    <t>Gio 18 giu</t>
  </si>
  <si>
    <t>Ghana</t>
  </si>
  <si>
    <t>Panama</t>
  </si>
  <si>
    <t>Uzbekistan</t>
  </si>
  <si>
    <t>Colombia</t>
  </si>
  <si>
    <t>Ven 19 giu</t>
  </si>
  <si>
    <t>Sab 20 giu</t>
  </si>
  <si>
    <t>02:30</t>
  </si>
  <si>
    <t>05:00</t>
  </si>
  <si>
    <t>Dom 21 giu</t>
  </si>
  <si>
    <t>02:00</t>
  </si>
  <si>
    <t>Lun 22 giu</t>
  </si>
  <si>
    <t>23:00</t>
  </si>
  <si>
    <t>Mar 23 giu</t>
  </si>
  <si>
    <t>Mer 24 giu</t>
  </si>
  <si>
    <t>Gio 25 giu</t>
  </si>
  <si>
    <t>Ven 26 giu</t>
  </si>
  <si>
    <t>Sab 27 giu</t>
  </si>
  <si>
    <t>Dom 28 giu</t>
  </si>
  <si>
    <t>01:30</t>
  </si>
  <si>
    <t>Benvenuti nel Mondialito di IZI S.p.A.!
Questa prima parte del gioco consiste nell'indovinare gli esiti delle partite valevoli per i gironi del mondiale. Per ogni esito indovinato si ottiene un punto. Alla fine dei gironi, il giocatore che avrà totalizzato più punti sarà decretato vincitore della fase a gironi. Per partecipare, non dovete far altro che compilare le vostre previsioni nella rispettiva colonna verde.
LA QUOTA DI ISCRIZIONE È PARI A 5 €, il vincitore prende tutto.
A seguire, una volta definito il tabellone, insieme capiremo come  e se costruire la seconda tappa del gioco.</t>
  </si>
  <si>
    <t>Giocatore</t>
  </si>
  <si>
    <t>🏆 Classifica Mondiali 2026</t>
  </si>
  <si>
    <t>Pos.</t>
  </si>
  <si>
    <t>Andamento</t>
  </si>
  <si>
    <t>🥇 Primo posto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</si>
</sst>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sz val="16.0"/>
      <color theme="1"/>
      <name val="Calibri"/>
    </font>
    <font/>
    <font>
      <color theme="1"/>
      <name val="Calibri"/>
      <scheme val="minor"/>
    </font>
    <font>
      <b/>
      <sz val="14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B6DDE8"/>
        <bgColor rgb="FFB6DDE8"/>
      </patternFill>
    </fill>
    <fill>
      <patternFill patternType="solid">
        <fgColor rgb="FFCCC0D9"/>
        <bgColor rgb="FFCCC0D9"/>
      </patternFill>
    </fill>
    <fill>
      <patternFill patternType="solid">
        <fgColor rgb="FFC2D69B"/>
        <bgColor rgb="FFC2D69B"/>
      </patternFill>
    </fill>
    <fill>
      <patternFill patternType="solid">
        <fgColor rgb="FFFABF8F"/>
        <bgColor rgb="FFFABF8F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center"/>
    </xf>
    <xf borderId="1" fillId="0" fontId="1" numFmtId="0" xfId="0" applyAlignment="1" applyBorder="1" applyFont="1">
      <alignment vertical="center"/>
    </xf>
    <xf borderId="1" fillId="0" fontId="2" numFmtId="0" xfId="0" applyAlignment="1" applyBorder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readingOrder="0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1" fillId="3" fontId="2" numFmtId="0" xfId="0" applyAlignment="1" applyBorder="1" applyFont="1">
      <alignment horizontal="center" vertical="center"/>
    </xf>
    <xf borderId="1" fillId="0" fontId="2" numFmtId="20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2" fillId="0" fontId="3" numFmtId="0" xfId="0" applyAlignment="1" applyBorder="1" applyFont="1">
      <alignment horizontal="center" shrinkToFit="0" vertical="center" wrapText="1"/>
    </xf>
    <xf borderId="3" fillId="0" fontId="4" numFmtId="0" xfId="0" applyBorder="1" applyFont="1"/>
    <xf borderId="4" fillId="0" fontId="4" numFmtId="0" xfId="0" applyBorder="1" applyFont="1"/>
    <xf borderId="5" fillId="0" fontId="4" numFmtId="0" xfId="0" applyBorder="1" applyFont="1"/>
    <xf borderId="6" fillId="0" fontId="4" numFmtId="0" xfId="0" applyBorder="1" applyFont="1"/>
    <xf borderId="7" fillId="0" fontId="4" numFmtId="0" xfId="0" applyBorder="1" applyFont="1"/>
    <xf borderId="8" fillId="0" fontId="4" numFmtId="0" xfId="0" applyBorder="1" applyFont="1"/>
    <xf borderId="9" fillId="0" fontId="4" numFmtId="0" xfId="0" applyBorder="1" applyFont="1"/>
    <xf borderId="0" fillId="0" fontId="5" numFmtId="0" xfId="0" applyFont="1"/>
    <xf borderId="0" fillId="0" fontId="6" numFmtId="0" xfId="0" applyAlignment="1" applyFont="1">
      <alignment horizontal="center" vertical="center"/>
    </xf>
    <xf borderId="1" fillId="0" fontId="2" numFmtId="0" xfId="0" applyAlignment="1" applyBorder="1" applyFon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0"/>
    <col customWidth="1" min="2" max="2" width="14.0"/>
    <col customWidth="1" min="3" max="3" width="13.0"/>
    <col customWidth="1" min="4" max="4" width="12.57"/>
    <col customWidth="1" min="5" max="6" width="20.0"/>
    <col customWidth="1" min="7" max="7" width="11.86"/>
    <col customWidth="1" min="8" max="49" width="13.0"/>
  </cols>
  <sheetData>
    <row r="1" ht="21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>
        <f>SUM(I3:I74)</f>
        <v>10</v>
      </c>
      <c r="J1" s="2" t="s">
        <v>8</v>
      </c>
      <c r="K1" s="1">
        <f>SUM(K3:K74)</f>
        <v>10</v>
      </c>
      <c r="L1" s="2" t="s">
        <v>9</v>
      </c>
      <c r="M1" s="1">
        <f>SUM(M3:M74)</f>
        <v>8</v>
      </c>
      <c r="N1" s="2" t="s">
        <v>10</v>
      </c>
      <c r="O1" s="1">
        <f>SUM(O3:O74)</f>
        <v>6</v>
      </c>
      <c r="P1" s="2" t="s">
        <v>11</v>
      </c>
      <c r="Q1" s="1">
        <f>SUM(Q3:Q74)</f>
        <v>8</v>
      </c>
      <c r="R1" s="2" t="s">
        <v>12</v>
      </c>
      <c r="S1" s="1">
        <f>SUM(S3:S74)</f>
        <v>9</v>
      </c>
      <c r="T1" s="2" t="s">
        <v>13</v>
      </c>
      <c r="U1" s="1">
        <f>SUM(U3:U74)</f>
        <v>10</v>
      </c>
      <c r="V1" s="2" t="s">
        <v>14</v>
      </c>
      <c r="W1" s="1">
        <f>SUM(W3:W74)</f>
        <v>10</v>
      </c>
      <c r="X1" s="2" t="s">
        <v>15</v>
      </c>
      <c r="Y1" s="1">
        <f>SUM(Y3:Y74)</f>
        <v>12</v>
      </c>
      <c r="Z1" s="2" t="s">
        <v>16</v>
      </c>
      <c r="AA1" s="1">
        <f>SUM(AA3:AA74)</f>
        <v>12</v>
      </c>
      <c r="AB1" s="2" t="s">
        <v>17</v>
      </c>
      <c r="AC1" s="1">
        <f>SUM(AC3:AC74)</f>
        <v>9</v>
      </c>
      <c r="AD1" s="2" t="s">
        <v>18</v>
      </c>
      <c r="AE1" s="1">
        <f>SUM(AE3:AE74)</f>
        <v>9</v>
      </c>
      <c r="AF1" s="2" t="s">
        <v>19</v>
      </c>
      <c r="AG1" s="1">
        <f>SUM(AG3:AG74)</f>
        <v>12</v>
      </c>
      <c r="AH1" s="2" t="s">
        <v>20</v>
      </c>
      <c r="AI1" s="1">
        <f>SUM(AI3:AI74)</f>
        <v>12</v>
      </c>
      <c r="AJ1" s="2" t="s">
        <v>21</v>
      </c>
      <c r="AK1" s="1">
        <f>SUM(AK3:AK74)</f>
        <v>11</v>
      </c>
      <c r="AL1" s="2" t="s">
        <v>22</v>
      </c>
      <c r="AM1" s="1">
        <f>SUM(AM3:AM74)</f>
        <v>9</v>
      </c>
      <c r="AN1" s="2" t="s">
        <v>23</v>
      </c>
      <c r="AO1" s="1">
        <f>SUM(AO3:AO74)</f>
        <v>13</v>
      </c>
      <c r="AP1" s="2" t="s">
        <v>24</v>
      </c>
      <c r="AQ1" s="1">
        <f>SUM(AQ3:AQ74)</f>
        <v>12</v>
      </c>
      <c r="AR1" s="2" t="s">
        <v>25</v>
      </c>
      <c r="AS1" s="1">
        <f>SUM(AS3:AS74)</f>
        <v>13</v>
      </c>
      <c r="AT1" s="2" t="s">
        <v>26</v>
      </c>
      <c r="AU1" s="1">
        <f>SUM(AU3:AU74)</f>
        <v>8</v>
      </c>
      <c r="AV1" s="2" t="s">
        <v>27</v>
      </c>
      <c r="AW1" s="1">
        <f>SUM(AW3:AW74)</f>
        <v>8</v>
      </c>
    </row>
    <row r="2" ht="21.75" customHeight="1">
      <c r="A2" s="1"/>
      <c r="B2" s="1"/>
      <c r="C2" s="1"/>
      <c r="D2" s="1"/>
      <c r="E2" s="1"/>
      <c r="F2" s="1"/>
      <c r="G2" s="1" t="s">
        <v>28</v>
      </c>
      <c r="H2" s="1" t="s">
        <v>29</v>
      </c>
      <c r="I2" s="1" t="s">
        <v>30</v>
      </c>
      <c r="J2" s="1" t="s">
        <v>29</v>
      </c>
      <c r="K2" s="1" t="s">
        <v>30</v>
      </c>
      <c r="L2" s="1" t="s">
        <v>29</v>
      </c>
      <c r="M2" s="1" t="s">
        <v>30</v>
      </c>
      <c r="N2" s="1" t="s">
        <v>29</v>
      </c>
      <c r="O2" s="1" t="s">
        <v>30</v>
      </c>
      <c r="P2" s="1" t="s">
        <v>29</v>
      </c>
      <c r="Q2" s="1" t="s">
        <v>30</v>
      </c>
      <c r="R2" s="1" t="s">
        <v>29</v>
      </c>
      <c r="S2" s="1" t="s">
        <v>30</v>
      </c>
      <c r="T2" s="1" t="s">
        <v>29</v>
      </c>
      <c r="U2" s="1" t="s">
        <v>30</v>
      </c>
      <c r="V2" s="1" t="s">
        <v>29</v>
      </c>
      <c r="W2" s="1" t="s">
        <v>30</v>
      </c>
      <c r="X2" s="1" t="s">
        <v>29</v>
      </c>
      <c r="Y2" s="1" t="s">
        <v>30</v>
      </c>
      <c r="Z2" s="1" t="s">
        <v>29</v>
      </c>
      <c r="AA2" s="1" t="s">
        <v>30</v>
      </c>
      <c r="AB2" s="1" t="s">
        <v>29</v>
      </c>
      <c r="AC2" s="1" t="s">
        <v>30</v>
      </c>
      <c r="AD2" s="1" t="s">
        <v>29</v>
      </c>
      <c r="AE2" s="1" t="s">
        <v>30</v>
      </c>
      <c r="AF2" s="1" t="s">
        <v>29</v>
      </c>
      <c r="AG2" s="1" t="s">
        <v>30</v>
      </c>
      <c r="AH2" s="1" t="s">
        <v>29</v>
      </c>
      <c r="AI2" s="1" t="s">
        <v>30</v>
      </c>
      <c r="AJ2" s="1" t="s">
        <v>29</v>
      </c>
      <c r="AK2" s="1" t="s">
        <v>30</v>
      </c>
      <c r="AL2" s="1" t="s">
        <v>29</v>
      </c>
      <c r="AM2" s="1" t="s">
        <v>30</v>
      </c>
      <c r="AN2" s="1" t="s">
        <v>29</v>
      </c>
      <c r="AO2" s="1" t="s">
        <v>30</v>
      </c>
      <c r="AP2" s="1" t="s">
        <v>29</v>
      </c>
      <c r="AQ2" s="1" t="s">
        <v>30</v>
      </c>
      <c r="AR2" s="1" t="s">
        <v>29</v>
      </c>
      <c r="AS2" s="1" t="s">
        <v>30</v>
      </c>
      <c r="AT2" s="1" t="s">
        <v>29</v>
      </c>
      <c r="AU2" s="1" t="s">
        <v>30</v>
      </c>
      <c r="AV2" s="1" t="s">
        <v>29</v>
      </c>
      <c r="AW2" s="1" t="s">
        <v>30</v>
      </c>
    </row>
    <row r="3" ht="18.0" customHeight="1">
      <c r="A3" s="3">
        <v>1.0</v>
      </c>
      <c r="B3" s="3" t="s">
        <v>31</v>
      </c>
      <c r="C3" s="3" t="s">
        <v>32</v>
      </c>
      <c r="D3" s="1" t="s">
        <v>33</v>
      </c>
      <c r="E3" s="4" t="s">
        <v>34</v>
      </c>
      <c r="F3" s="4" t="s">
        <v>35</v>
      </c>
      <c r="G3" s="5">
        <v>2.0</v>
      </c>
      <c r="H3" s="6">
        <v>1.0</v>
      </c>
      <c r="I3" s="7">
        <f t="shared" ref="I3:I74" si="1">IF($G3&lt;&gt;"",IF(H3=$G3,1,0),"")</f>
        <v>0</v>
      </c>
      <c r="J3" s="6">
        <v>1.0</v>
      </c>
      <c r="K3" s="7">
        <f t="shared" ref="K3:K74" si="2">IF($G3&lt;&gt;"",IF(J3=$G3,1,0),"")</f>
        <v>0</v>
      </c>
      <c r="L3" s="6">
        <v>1.0</v>
      </c>
      <c r="M3" s="7">
        <f t="shared" ref="M3:M74" si="3">IF($G3&lt;&gt;"",IF(L3=$G3,1,0),"")</f>
        <v>0</v>
      </c>
      <c r="N3" s="6" t="s">
        <v>36</v>
      </c>
      <c r="O3" s="7">
        <f t="shared" ref="O3:O74" si="4">IF($G3&lt;&gt;"",IF(N3=$G3,1,0),"")</f>
        <v>0</v>
      </c>
      <c r="P3" s="6">
        <v>1.0</v>
      </c>
      <c r="Q3" s="7">
        <f t="shared" ref="Q3:Q74" si="5">IF($G3&lt;&gt;"",IF(P3=$G3,1,0),"")</f>
        <v>0</v>
      </c>
      <c r="R3" s="6">
        <v>1.0</v>
      </c>
      <c r="S3" s="7">
        <f t="shared" ref="S3:S74" si="6">IF($G3&lt;&gt;"",IF(R3=$G3,1,0),"")</f>
        <v>0</v>
      </c>
      <c r="T3" s="6">
        <v>1.0</v>
      </c>
      <c r="U3" s="7">
        <f t="shared" ref="U3:U74" si="7">IF($G3&lt;&gt;"",IF(T3=$G3,1,0),"")</f>
        <v>0</v>
      </c>
      <c r="V3" s="6">
        <v>1.0</v>
      </c>
      <c r="W3" s="7">
        <f t="shared" ref="W3:W74" si="8">IF($G3&lt;&gt;"",IF(V3=$G3,1,0),"")</f>
        <v>0</v>
      </c>
      <c r="X3" s="6">
        <v>1.0</v>
      </c>
      <c r="Y3" s="7">
        <f t="shared" ref="Y3:Y74" si="9">IF($G3&lt;&gt;"",IF(X3=$G3,1,0),"")</f>
        <v>0</v>
      </c>
      <c r="Z3" s="6" t="s">
        <v>36</v>
      </c>
      <c r="AA3" s="7">
        <f t="shared" ref="AA3:AA74" si="10">IF($G3&lt;&gt;"",IF(Z3=$G3,1,0),"")</f>
        <v>0</v>
      </c>
      <c r="AB3" s="6" t="s">
        <v>36</v>
      </c>
      <c r="AC3" s="7">
        <f t="shared" ref="AC3:AC74" si="11">IF($G3&lt;&gt;"",IF(AB3=$G3,1,0),"")</f>
        <v>0</v>
      </c>
      <c r="AD3" s="6">
        <v>1.0</v>
      </c>
      <c r="AE3" s="7">
        <f t="shared" ref="AE3:AE74" si="12">IF($G3&lt;&gt;"",IF(AD3=$G3,1,0),"")</f>
        <v>0</v>
      </c>
      <c r="AF3" s="6">
        <v>2.0</v>
      </c>
      <c r="AG3" s="7">
        <f t="shared" ref="AG3:AG74" si="13">IF($G3&lt;&gt;"",IF(AF3=$G3,1,0),"")</f>
        <v>1</v>
      </c>
      <c r="AH3" s="6">
        <v>1.0</v>
      </c>
      <c r="AI3" s="7">
        <f t="shared" ref="AI3:AI74" si="14">IF($G3&lt;&gt;"",IF(AH3=$G3,1,0),"")</f>
        <v>0</v>
      </c>
      <c r="AJ3" s="6">
        <v>1.0</v>
      </c>
      <c r="AK3" s="7">
        <f t="shared" ref="AK3:AK74" si="15">IF($G3&lt;&gt;"",IF(AJ3=$G3,1,0),"")</f>
        <v>0</v>
      </c>
      <c r="AL3" s="6">
        <v>1.0</v>
      </c>
      <c r="AM3" s="7">
        <f t="shared" ref="AM3:AM74" si="16">IF($G3&lt;&gt;"",IF(AL3=$G3,1,0),"")</f>
        <v>0</v>
      </c>
      <c r="AN3" s="6">
        <v>1.0</v>
      </c>
      <c r="AO3" s="7">
        <f t="shared" ref="AO3:AO74" si="17">IF($G3&lt;&gt;"",IF(AN3=$G3,1,0),"")</f>
        <v>0</v>
      </c>
      <c r="AP3" s="6">
        <v>1.0</v>
      </c>
      <c r="AQ3" s="7">
        <f t="shared" ref="AQ3:AQ74" si="18">IF($G3&lt;&gt;"",IF(AP3=$G3,1,0),"")</f>
        <v>0</v>
      </c>
      <c r="AR3" s="6">
        <v>1.0</v>
      </c>
      <c r="AS3" s="7">
        <f t="shared" ref="AS3:AS74" si="19">IF($G3&lt;&gt;"",IF(AR3=$G3,1,0),"")</f>
        <v>0</v>
      </c>
      <c r="AT3" s="6">
        <v>1.0</v>
      </c>
      <c r="AU3" s="7">
        <f t="shared" ref="AU3:AU74" si="20">IF($G3&lt;&gt;"",IF(AT3=$G3,1,0),"")</f>
        <v>0</v>
      </c>
      <c r="AV3" s="6">
        <v>1.0</v>
      </c>
      <c r="AW3" s="7">
        <f t="shared" ref="AW3:AW74" si="21">IF($G3&lt;&gt;"",IF(AV3=$G3,1,0),"")</f>
        <v>0</v>
      </c>
    </row>
    <row r="4" ht="18.0" customHeight="1">
      <c r="A4" s="3">
        <v>2.0</v>
      </c>
      <c r="B4" s="3" t="s">
        <v>37</v>
      </c>
      <c r="C4" s="3" t="s">
        <v>38</v>
      </c>
      <c r="D4" s="1" t="s">
        <v>33</v>
      </c>
      <c r="E4" s="4" t="s">
        <v>39</v>
      </c>
      <c r="F4" s="4" t="s">
        <v>40</v>
      </c>
      <c r="G4" s="5">
        <v>1.0</v>
      </c>
      <c r="H4" s="6">
        <v>1.0</v>
      </c>
      <c r="I4" s="7">
        <f t="shared" si="1"/>
        <v>1</v>
      </c>
      <c r="J4" s="6">
        <v>2.0</v>
      </c>
      <c r="K4" s="7">
        <f t="shared" si="2"/>
        <v>0</v>
      </c>
      <c r="L4" s="6">
        <v>2.0</v>
      </c>
      <c r="M4" s="7">
        <f t="shared" si="3"/>
        <v>0</v>
      </c>
      <c r="N4" s="6">
        <v>2.0</v>
      </c>
      <c r="O4" s="7">
        <f t="shared" si="4"/>
        <v>0</v>
      </c>
      <c r="P4" s="6" t="s">
        <v>36</v>
      </c>
      <c r="Q4" s="7">
        <f t="shared" si="5"/>
        <v>0</v>
      </c>
      <c r="R4" s="6" t="s">
        <v>36</v>
      </c>
      <c r="S4" s="7">
        <f t="shared" si="6"/>
        <v>0</v>
      </c>
      <c r="T4" s="6" t="s">
        <v>36</v>
      </c>
      <c r="U4" s="7">
        <f t="shared" si="7"/>
        <v>0</v>
      </c>
      <c r="V4" s="6" t="s">
        <v>36</v>
      </c>
      <c r="W4" s="7">
        <f t="shared" si="8"/>
        <v>0</v>
      </c>
      <c r="X4" s="6">
        <v>1.0</v>
      </c>
      <c r="Y4" s="7">
        <f t="shared" si="9"/>
        <v>1</v>
      </c>
      <c r="Z4" s="6">
        <v>2.0</v>
      </c>
      <c r="AA4" s="7">
        <f t="shared" si="10"/>
        <v>0</v>
      </c>
      <c r="AB4" s="6">
        <v>1.0</v>
      </c>
      <c r="AC4" s="7">
        <f t="shared" si="11"/>
        <v>1</v>
      </c>
      <c r="AD4" s="6">
        <v>2.0</v>
      </c>
      <c r="AE4" s="7">
        <f t="shared" si="12"/>
        <v>0</v>
      </c>
      <c r="AF4" s="6">
        <v>1.0</v>
      </c>
      <c r="AG4" s="7">
        <f t="shared" si="13"/>
        <v>1</v>
      </c>
      <c r="AH4" s="6" t="s">
        <v>36</v>
      </c>
      <c r="AI4" s="7">
        <f t="shared" si="14"/>
        <v>0</v>
      </c>
      <c r="AJ4" s="6">
        <v>1.0</v>
      </c>
      <c r="AK4" s="7">
        <f t="shared" si="15"/>
        <v>1</v>
      </c>
      <c r="AL4" s="6">
        <v>1.0</v>
      </c>
      <c r="AM4" s="7">
        <f t="shared" si="16"/>
        <v>1</v>
      </c>
      <c r="AN4" s="6">
        <v>1.0</v>
      </c>
      <c r="AO4" s="7">
        <f t="shared" si="17"/>
        <v>1</v>
      </c>
      <c r="AP4" s="6">
        <v>1.0</v>
      </c>
      <c r="AQ4" s="7">
        <f t="shared" si="18"/>
        <v>1</v>
      </c>
      <c r="AR4" s="6">
        <v>2.0</v>
      </c>
      <c r="AS4" s="7">
        <f t="shared" si="19"/>
        <v>0</v>
      </c>
      <c r="AT4" s="6" t="s">
        <v>36</v>
      </c>
      <c r="AU4" s="7">
        <f t="shared" si="20"/>
        <v>0</v>
      </c>
      <c r="AV4" s="6">
        <v>2.0</v>
      </c>
      <c r="AW4" s="7">
        <f t="shared" si="21"/>
        <v>0</v>
      </c>
    </row>
    <row r="5" ht="18.0" customHeight="1">
      <c r="A5" s="3">
        <v>3.0</v>
      </c>
      <c r="B5" s="3" t="s">
        <v>37</v>
      </c>
      <c r="C5" s="3" t="s">
        <v>32</v>
      </c>
      <c r="D5" s="1" t="s">
        <v>41</v>
      </c>
      <c r="E5" s="4" t="s">
        <v>42</v>
      </c>
      <c r="F5" s="4" t="s">
        <v>43</v>
      </c>
      <c r="G5" s="5">
        <v>1.0</v>
      </c>
      <c r="H5" s="6" t="s">
        <v>36</v>
      </c>
      <c r="I5" s="7">
        <f t="shared" si="1"/>
        <v>0</v>
      </c>
      <c r="J5" s="6" t="s">
        <v>36</v>
      </c>
      <c r="K5" s="7">
        <f t="shared" si="2"/>
        <v>0</v>
      </c>
      <c r="L5" s="6" t="s">
        <v>36</v>
      </c>
      <c r="M5" s="7">
        <f t="shared" si="3"/>
        <v>0</v>
      </c>
      <c r="N5" s="6">
        <v>2.0</v>
      </c>
      <c r="O5" s="7">
        <f t="shared" si="4"/>
        <v>0</v>
      </c>
      <c r="P5" s="6">
        <v>1.0</v>
      </c>
      <c r="Q5" s="7">
        <f t="shared" si="5"/>
        <v>1</v>
      </c>
      <c r="R5" s="6">
        <v>2.0</v>
      </c>
      <c r="S5" s="7">
        <f t="shared" si="6"/>
        <v>0</v>
      </c>
      <c r="T5" s="6">
        <v>1.0</v>
      </c>
      <c r="U5" s="7">
        <f t="shared" si="7"/>
        <v>1</v>
      </c>
      <c r="V5" s="6">
        <v>1.0</v>
      </c>
      <c r="W5" s="7">
        <f t="shared" si="8"/>
        <v>1</v>
      </c>
      <c r="X5" s="6">
        <v>1.0</v>
      </c>
      <c r="Y5" s="7">
        <f t="shared" si="9"/>
        <v>1</v>
      </c>
      <c r="Z5" s="6">
        <v>1.0</v>
      </c>
      <c r="AA5" s="7">
        <f t="shared" si="10"/>
        <v>1</v>
      </c>
      <c r="AB5" s="6">
        <v>1.0</v>
      </c>
      <c r="AC5" s="7">
        <f t="shared" si="11"/>
        <v>1</v>
      </c>
      <c r="AD5" s="6">
        <v>1.0</v>
      </c>
      <c r="AE5" s="7">
        <f t="shared" si="12"/>
        <v>1</v>
      </c>
      <c r="AF5" s="6">
        <v>2.0</v>
      </c>
      <c r="AG5" s="7">
        <f t="shared" si="13"/>
        <v>0</v>
      </c>
      <c r="AH5" s="6">
        <v>1.0</v>
      </c>
      <c r="AI5" s="7">
        <f t="shared" si="14"/>
        <v>1</v>
      </c>
      <c r="AJ5" s="6">
        <v>1.0</v>
      </c>
      <c r="AK5" s="7">
        <f t="shared" si="15"/>
        <v>1</v>
      </c>
      <c r="AL5" s="6">
        <v>2.0</v>
      </c>
      <c r="AM5" s="7">
        <f t="shared" si="16"/>
        <v>0</v>
      </c>
      <c r="AN5" s="6">
        <v>1.0</v>
      </c>
      <c r="AO5" s="7">
        <f t="shared" si="17"/>
        <v>1</v>
      </c>
      <c r="AP5" s="6">
        <v>1.0</v>
      </c>
      <c r="AQ5" s="7">
        <f t="shared" si="18"/>
        <v>1</v>
      </c>
      <c r="AR5" s="6">
        <v>1.0</v>
      </c>
      <c r="AS5" s="7">
        <f t="shared" si="19"/>
        <v>1</v>
      </c>
      <c r="AT5" s="6">
        <v>2.0</v>
      </c>
      <c r="AU5" s="7">
        <f t="shared" si="20"/>
        <v>0</v>
      </c>
      <c r="AV5" s="6">
        <v>2.0</v>
      </c>
      <c r="AW5" s="7">
        <f t="shared" si="21"/>
        <v>0</v>
      </c>
    </row>
    <row r="6" ht="18.0" customHeight="1">
      <c r="A6" s="3">
        <v>4.0</v>
      </c>
      <c r="B6" s="3" t="s">
        <v>44</v>
      </c>
      <c r="C6" s="3" t="s">
        <v>45</v>
      </c>
      <c r="D6" s="1" t="s">
        <v>46</v>
      </c>
      <c r="E6" s="4" t="s">
        <v>47</v>
      </c>
      <c r="F6" s="4" t="s">
        <v>48</v>
      </c>
      <c r="G6" s="5">
        <v>1.0</v>
      </c>
      <c r="H6" s="6" t="s">
        <v>36</v>
      </c>
      <c r="I6" s="7">
        <f t="shared" si="1"/>
        <v>0</v>
      </c>
      <c r="J6" s="6">
        <v>1.0</v>
      </c>
      <c r="K6" s="7">
        <f t="shared" si="2"/>
        <v>1</v>
      </c>
      <c r="L6" s="6">
        <v>1.0</v>
      </c>
      <c r="M6" s="7">
        <f t="shared" si="3"/>
        <v>1</v>
      </c>
      <c r="N6" s="6">
        <v>1.0</v>
      </c>
      <c r="O6" s="7">
        <f t="shared" si="4"/>
        <v>1</v>
      </c>
      <c r="P6" s="6" t="s">
        <v>36</v>
      </c>
      <c r="Q6" s="7">
        <f t="shared" si="5"/>
        <v>0</v>
      </c>
      <c r="R6" s="6">
        <v>1.0</v>
      </c>
      <c r="S6" s="7">
        <f t="shared" si="6"/>
        <v>1</v>
      </c>
      <c r="T6" s="6" t="s">
        <v>36</v>
      </c>
      <c r="U6" s="7">
        <f t="shared" si="7"/>
        <v>0</v>
      </c>
      <c r="V6" s="6">
        <v>1.0</v>
      </c>
      <c r="W6" s="7">
        <f t="shared" si="8"/>
        <v>1</v>
      </c>
      <c r="X6" s="6">
        <v>1.0</v>
      </c>
      <c r="Y6" s="7">
        <f t="shared" si="9"/>
        <v>1</v>
      </c>
      <c r="Z6" s="6" t="s">
        <v>36</v>
      </c>
      <c r="AA6" s="7">
        <f t="shared" si="10"/>
        <v>0</v>
      </c>
      <c r="AB6" s="6" t="s">
        <v>36</v>
      </c>
      <c r="AC6" s="7">
        <f t="shared" si="11"/>
        <v>0</v>
      </c>
      <c r="AD6" s="6">
        <v>1.0</v>
      </c>
      <c r="AE6" s="7">
        <f t="shared" si="12"/>
        <v>1</v>
      </c>
      <c r="AF6" s="6" t="s">
        <v>49</v>
      </c>
      <c r="AG6" s="7">
        <f t="shared" si="13"/>
        <v>0</v>
      </c>
      <c r="AH6" s="6">
        <v>1.0</v>
      </c>
      <c r="AI6" s="7">
        <f t="shared" si="14"/>
        <v>1</v>
      </c>
      <c r="AJ6" s="6">
        <v>1.0</v>
      </c>
      <c r="AK6" s="7">
        <f t="shared" si="15"/>
        <v>1</v>
      </c>
      <c r="AL6" s="6" t="s">
        <v>36</v>
      </c>
      <c r="AM6" s="7">
        <f t="shared" si="16"/>
        <v>0</v>
      </c>
      <c r="AN6" s="6">
        <v>1.0</v>
      </c>
      <c r="AO6" s="7">
        <f t="shared" si="17"/>
        <v>1</v>
      </c>
      <c r="AP6" s="6">
        <v>1.0</v>
      </c>
      <c r="AQ6" s="7">
        <f t="shared" si="18"/>
        <v>1</v>
      </c>
      <c r="AR6" s="6">
        <v>1.0</v>
      </c>
      <c r="AS6" s="7">
        <f t="shared" si="19"/>
        <v>1</v>
      </c>
      <c r="AT6" s="6">
        <v>2.0</v>
      </c>
      <c r="AU6" s="7">
        <f t="shared" si="20"/>
        <v>0</v>
      </c>
      <c r="AV6" s="6" t="s">
        <v>36</v>
      </c>
      <c r="AW6" s="7">
        <f t="shared" si="21"/>
        <v>0</v>
      </c>
    </row>
    <row r="7" ht="18.0" customHeight="1">
      <c r="A7" s="3">
        <v>5.0</v>
      </c>
      <c r="B7" s="3" t="s">
        <v>44</v>
      </c>
      <c r="C7" s="3" t="s">
        <v>32</v>
      </c>
      <c r="D7" s="1" t="s">
        <v>41</v>
      </c>
      <c r="E7" s="4" t="s">
        <v>50</v>
      </c>
      <c r="F7" s="4" t="s">
        <v>51</v>
      </c>
      <c r="G7" s="5">
        <v>1.0</v>
      </c>
      <c r="H7" s="6">
        <v>2.0</v>
      </c>
      <c r="I7" s="7">
        <f t="shared" si="1"/>
        <v>0</v>
      </c>
      <c r="J7" s="6">
        <v>2.0</v>
      </c>
      <c r="K7" s="7">
        <f t="shared" si="2"/>
        <v>0</v>
      </c>
      <c r="L7" s="6">
        <v>1.0</v>
      </c>
      <c r="M7" s="7">
        <f t="shared" si="3"/>
        <v>1</v>
      </c>
      <c r="N7" s="6">
        <v>2.0</v>
      </c>
      <c r="O7" s="7">
        <f t="shared" si="4"/>
        <v>0</v>
      </c>
      <c r="P7" s="6">
        <v>2.0</v>
      </c>
      <c r="Q7" s="7">
        <f t="shared" si="5"/>
        <v>0</v>
      </c>
      <c r="R7" s="6">
        <v>2.0</v>
      </c>
      <c r="S7" s="7">
        <f t="shared" si="6"/>
        <v>0</v>
      </c>
      <c r="T7" s="6">
        <v>2.0</v>
      </c>
      <c r="U7" s="7">
        <f t="shared" si="7"/>
        <v>0</v>
      </c>
      <c r="V7" s="6">
        <v>2.0</v>
      </c>
      <c r="W7" s="7">
        <f t="shared" si="8"/>
        <v>0</v>
      </c>
      <c r="X7" s="6">
        <v>2.0</v>
      </c>
      <c r="Y7" s="7">
        <f t="shared" si="9"/>
        <v>0</v>
      </c>
      <c r="Z7" s="6">
        <v>1.0</v>
      </c>
      <c r="AA7" s="7">
        <f t="shared" si="10"/>
        <v>1</v>
      </c>
      <c r="AB7" s="6">
        <v>2.0</v>
      </c>
      <c r="AC7" s="7">
        <f t="shared" si="11"/>
        <v>0</v>
      </c>
      <c r="AD7" s="6" t="s">
        <v>36</v>
      </c>
      <c r="AE7" s="7">
        <f t="shared" si="12"/>
        <v>0</v>
      </c>
      <c r="AF7" s="6">
        <v>2.0</v>
      </c>
      <c r="AG7" s="7">
        <f t="shared" si="13"/>
        <v>0</v>
      </c>
      <c r="AH7" s="6">
        <v>2.0</v>
      </c>
      <c r="AI7" s="7">
        <f t="shared" si="14"/>
        <v>0</v>
      </c>
      <c r="AJ7" s="6">
        <v>2.0</v>
      </c>
      <c r="AK7" s="7">
        <f t="shared" si="15"/>
        <v>0</v>
      </c>
      <c r="AL7" s="6">
        <v>2.0</v>
      </c>
      <c r="AM7" s="7">
        <f t="shared" si="16"/>
        <v>0</v>
      </c>
      <c r="AN7" s="6">
        <v>2.0</v>
      </c>
      <c r="AO7" s="7">
        <f t="shared" si="17"/>
        <v>0</v>
      </c>
      <c r="AP7" s="6">
        <v>2.0</v>
      </c>
      <c r="AQ7" s="7">
        <f t="shared" si="18"/>
        <v>0</v>
      </c>
      <c r="AR7" s="6">
        <v>2.0</v>
      </c>
      <c r="AS7" s="7">
        <f t="shared" si="19"/>
        <v>0</v>
      </c>
      <c r="AT7" s="6">
        <v>2.0</v>
      </c>
      <c r="AU7" s="7">
        <f t="shared" si="20"/>
        <v>0</v>
      </c>
      <c r="AV7" s="6">
        <v>2.0</v>
      </c>
      <c r="AW7" s="7">
        <f t="shared" si="21"/>
        <v>0</v>
      </c>
    </row>
    <row r="8" ht="18.0" customHeight="1">
      <c r="A8" s="3">
        <v>6.0</v>
      </c>
      <c r="B8" s="3" t="s">
        <v>52</v>
      </c>
      <c r="C8" s="3" t="s">
        <v>53</v>
      </c>
      <c r="D8" s="1" t="s">
        <v>54</v>
      </c>
      <c r="E8" s="4" t="s">
        <v>55</v>
      </c>
      <c r="F8" s="4" t="s">
        <v>56</v>
      </c>
      <c r="G8" s="5">
        <v>1.0</v>
      </c>
      <c r="H8" s="6">
        <v>1.0</v>
      </c>
      <c r="I8" s="7">
        <f t="shared" si="1"/>
        <v>1</v>
      </c>
      <c r="J8" s="6">
        <v>1.0</v>
      </c>
      <c r="K8" s="7">
        <f t="shared" si="2"/>
        <v>1</v>
      </c>
      <c r="L8" s="6">
        <v>1.0</v>
      </c>
      <c r="M8" s="7">
        <f t="shared" si="3"/>
        <v>1</v>
      </c>
      <c r="N8" s="6" t="s">
        <v>36</v>
      </c>
      <c r="O8" s="7">
        <f t="shared" si="4"/>
        <v>0</v>
      </c>
      <c r="P8" s="6" t="s">
        <v>36</v>
      </c>
      <c r="Q8" s="7">
        <f t="shared" si="5"/>
        <v>0</v>
      </c>
      <c r="R8" s="6" t="s">
        <v>36</v>
      </c>
      <c r="S8" s="7">
        <f t="shared" si="6"/>
        <v>0</v>
      </c>
      <c r="T8" s="6">
        <v>1.0</v>
      </c>
      <c r="U8" s="7">
        <f t="shared" si="7"/>
        <v>1</v>
      </c>
      <c r="V8" s="6" t="s">
        <v>36</v>
      </c>
      <c r="W8" s="7">
        <f t="shared" si="8"/>
        <v>0</v>
      </c>
      <c r="X8" s="6" t="s">
        <v>36</v>
      </c>
      <c r="Y8" s="7">
        <f t="shared" si="9"/>
        <v>0</v>
      </c>
      <c r="Z8" s="6">
        <v>1.0</v>
      </c>
      <c r="AA8" s="7">
        <f t="shared" si="10"/>
        <v>1</v>
      </c>
      <c r="AB8" s="6" t="s">
        <v>36</v>
      </c>
      <c r="AC8" s="7">
        <f t="shared" si="11"/>
        <v>0</v>
      </c>
      <c r="AD8" s="6">
        <v>1.0</v>
      </c>
      <c r="AE8" s="7">
        <f t="shared" si="12"/>
        <v>1</v>
      </c>
      <c r="AF8" s="6">
        <v>1.0</v>
      </c>
      <c r="AG8" s="7">
        <f t="shared" si="13"/>
        <v>1</v>
      </c>
      <c r="AH8" s="6">
        <v>1.0</v>
      </c>
      <c r="AI8" s="7">
        <f t="shared" si="14"/>
        <v>1</v>
      </c>
      <c r="AJ8" s="6" t="s">
        <v>36</v>
      </c>
      <c r="AK8" s="7">
        <f t="shared" si="15"/>
        <v>0</v>
      </c>
      <c r="AL8" s="6" t="s">
        <v>36</v>
      </c>
      <c r="AM8" s="7">
        <f t="shared" si="16"/>
        <v>0</v>
      </c>
      <c r="AN8" s="6">
        <v>1.0</v>
      </c>
      <c r="AO8" s="7">
        <f t="shared" si="17"/>
        <v>1</v>
      </c>
      <c r="AP8" s="6">
        <v>1.0</v>
      </c>
      <c r="AQ8" s="7">
        <f t="shared" si="18"/>
        <v>1</v>
      </c>
      <c r="AR8" s="6">
        <v>1.0</v>
      </c>
      <c r="AS8" s="7">
        <f t="shared" si="19"/>
        <v>1</v>
      </c>
      <c r="AT8" s="6">
        <v>1.0</v>
      </c>
      <c r="AU8" s="7">
        <f t="shared" si="20"/>
        <v>1</v>
      </c>
      <c r="AV8" s="6">
        <v>1.0</v>
      </c>
      <c r="AW8" s="7">
        <f t="shared" si="21"/>
        <v>1</v>
      </c>
    </row>
    <row r="9" ht="18.0" customHeight="1">
      <c r="A9" s="3">
        <v>7.0</v>
      </c>
      <c r="B9" s="3" t="s">
        <v>52</v>
      </c>
      <c r="C9" s="3" t="s">
        <v>45</v>
      </c>
      <c r="D9" s="1" t="s">
        <v>54</v>
      </c>
      <c r="E9" s="4" t="s">
        <v>57</v>
      </c>
      <c r="F9" s="4" t="s">
        <v>58</v>
      </c>
      <c r="G9" s="5">
        <v>1.0</v>
      </c>
      <c r="H9" s="6">
        <v>2.0</v>
      </c>
      <c r="I9" s="7">
        <f t="shared" si="1"/>
        <v>0</v>
      </c>
      <c r="J9" s="6">
        <v>2.0</v>
      </c>
      <c r="K9" s="7">
        <f t="shared" si="2"/>
        <v>0</v>
      </c>
      <c r="L9" s="6">
        <v>2.0</v>
      </c>
      <c r="M9" s="7">
        <f t="shared" si="3"/>
        <v>0</v>
      </c>
      <c r="N9" s="6">
        <v>2.0</v>
      </c>
      <c r="O9" s="7">
        <f t="shared" si="4"/>
        <v>0</v>
      </c>
      <c r="P9" s="6">
        <v>2.0</v>
      </c>
      <c r="Q9" s="7">
        <f t="shared" si="5"/>
        <v>0</v>
      </c>
      <c r="R9" s="6">
        <v>2.0</v>
      </c>
      <c r="S9" s="7">
        <f t="shared" si="6"/>
        <v>0</v>
      </c>
      <c r="T9" s="6">
        <v>2.0</v>
      </c>
      <c r="U9" s="7">
        <f t="shared" si="7"/>
        <v>0</v>
      </c>
      <c r="V9" s="6" t="s">
        <v>36</v>
      </c>
      <c r="W9" s="7">
        <f t="shared" si="8"/>
        <v>0</v>
      </c>
      <c r="X9" s="6">
        <v>2.0</v>
      </c>
      <c r="Y9" s="7">
        <f t="shared" si="9"/>
        <v>0</v>
      </c>
      <c r="Z9" s="6" t="s">
        <v>36</v>
      </c>
      <c r="AA9" s="7">
        <f t="shared" si="10"/>
        <v>0</v>
      </c>
      <c r="AB9" s="6">
        <v>2.0</v>
      </c>
      <c r="AC9" s="7">
        <f t="shared" si="11"/>
        <v>0</v>
      </c>
      <c r="AD9" s="6">
        <v>2.0</v>
      </c>
      <c r="AE9" s="7">
        <f t="shared" si="12"/>
        <v>0</v>
      </c>
      <c r="AF9" s="6">
        <v>2.0</v>
      </c>
      <c r="AG9" s="7">
        <f t="shared" si="13"/>
        <v>0</v>
      </c>
      <c r="AH9" s="6">
        <v>2.0</v>
      </c>
      <c r="AI9" s="7">
        <f t="shared" si="14"/>
        <v>0</v>
      </c>
      <c r="AJ9" s="6" t="s">
        <v>36</v>
      </c>
      <c r="AK9" s="7">
        <f t="shared" si="15"/>
        <v>0</v>
      </c>
      <c r="AL9" s="6" t="s">
        <v>36</v>
      </c>
      <c r="AM9" s="7">
        <f t="shared" si="16"/>
        <v>0</v>
      </c>
      <c r="AN9" s="6">
        <v>2.0</v>
      </c>
      <c r="AO9" s="7">
        <f t="shared" si="17"/>
        <v>0</v>
      </c>
      <c r="AP9" s="6">
        <v>2.0</v>
      </c>
      <c r="AQ9" s="7">
        <f t="shared" si="18"/>
        <v>0</v>
      </c>
      <c r="AR9" s="6">
        <v>2.0</v>
      </c>
      <c r="AS9" s="7">
        <f t="shared" si="19"/>
        <v>0</v>
      </c>
      <c r="AT9" s="6">
        <v>2.0</v>
      </c>
      <c r="AU9" s="7">
        <f t="shared" si="20"/>
        <v>0</v>
      </c>
      <c r="AV9" s="6">
        <v>2.0</v>
      </c>
      <c r="AW9" s="7">
        <f t="shared" si="21"/>
        <v>0</v>
      </c>
    </row>
    <row r="10" ht="18.0" customHeight="1">
      <c r="A10" s="3">
        <v>8.0</v>
      </c>
      <c r="B10" s="3" t="s">
        <v>52</v>
      </c>
      <c r="C10" s="3" t="s">
        <v>59</v>
      </c>
      <c r="D10" s="1" t="s">
        <v>46</v>
      </c>
      <c r="E10" s="4" t="s">
        <v>60</v>
      </c>
      <c r="F10" s="4" t="s">
        <v>61</v>
      </c>
      <c r="G10" s="5">
        <v>1.0</v>
      </c>
      <c r="H10" s="6">
        <v>2.0</v>
      </c>
      <c r="I10" s="7">
        <f t="shared" si="1"/>
        <v>0</v>
      </c>
      <c r="J10" s="6">
        <v>2.0</v>
      </c>
      <c r="K10" s="7">
        <f t="shared" si="2"/>
        <v>0</v>
      </c>
      <c r="L10" s="6" t="s">
        <v>36</v>
      </c>
      <c r="M10" s="7">
        <f t="shared" si="3"/>
        <v>0</v>
      </c>
      <c r="N10" s="6">
        <v>2.0</v>
      </c>
      <c r="O10" s="7">
        <f t="shared" si="4"/>
        <v>0</v>
      </c>
      <c r="P10" s="6">
        <v>2.0</v>
      </c>
      <c r="Q10" s="7">
        <f t="shared" si="5"/>
        <v>0</v>
      </c>
      <c r="R10" s="6">
        <v>2.0</v>
      </c>
      <c r="S10" s="7">
        <f t="shared" si="6"/>
        <v>0</v>
      </c>
      <c r="T10" s="6">
        <v>2.0</v>
      </c>
      <c r="U10" s="7">
        <f t="shared" si="7"/>
        <v>0</v>
      </c>
      <c r="V10" s="6">
        <v>2.0</v>
      </c>
      <c r="W10" s="7">
        <f t="shared" si="8"/>
        <v>0</v>
      </c>
      <c r="X10" s="6">
        <v>2.0</v>
      </c>
      <c r="Y10" s="7">
        <f t="shared" si="9"/>
        <v>0</v>
      </c>
      <c r="Z10" s="6">
        <v>2.0</v>
      </c>
      <c r="AA10" s="7">
        <f t="shared" si="10"/>
        <v>0</v>
      </c>
      <c r="AB10" s="6">
        <v>2.0</v>
      </c>
      <c r="AC10" s="7">
        <f t="shared" si="11"/>
        <v>0</v>
      </c>
      <c r="AD10" s="6" t="s">
        <v>36</v>
      </c>
      <c r="AE10" s="7">
        <f t="shared" si="12"/>
        <v>0</v>
      </c>
      <c r="AF10" s="6" t="s">
        <v>49</v>
      </c>
      <c r="AG10" s="7">
        <f t="shared" si="13"/>
        <v>0</v>
      </c>
      <c r="AH10" s="6">
        <v>2.0</v>
      </c>
      <c r="AI10" s="7">
        <f t="shared" si="14"/>
        <v>0</v>
      </c>
      <c r="AJ10" s="6">
        <v>1.0</v>
      </c>
      <c r="AK10" s="7">
        <f t="shared" si="15"/>
        <v>1</v>
      </c>
      <c r="AL10" s="6">
        <v>1.0</v>
      </c>
      <c r="AM10" s="7">
        <f t="shared" si="16"/>
        <v>1</v>
      </c>
      <c r="AN10" s="6">
        <v>2.0</v>
      </c>
      <c r="AO10" s="7">
        <f t="shared" si="17"/>
        <v>0</v>
      </c>
      <c r="AP10" s="6">
        <v>2.0</v>
      </c>
      <c r="AQ10" s="7">
        <f t="shared" si="18"/>
        <v>0</v>
      </c>
      <c r="AR10" s="6">
        <v>1.0</v>
      </c>
      <c r="AS10" s="7">
        <f t="shared" si="19"/>
        <v>1</v>
      </c>
      <c r="AT10" s="6">
        <v>2.0</v>
      </c>
      <c r="AU10" s="7">
        <f t="shared" si="20"/>
        <v>0</v>
      </c>
      <c r="AV10" s="6" t="s">
        <v>36</v>
      </c>
      <c r="AW10" s="7">
        <f t="shared" si="21"/>
        <v>0</v>
      </c>
    </row>
    <row r="11" ht="18.0" customHeight="1">
      <c r="A11" s="3">
        <v>9.0</v>
      </c>
      <c r="B11" s="3" t="s">
        <v>52</v>
      </c>
      <c r="C11" s="3" t="s">
        <v>62</v>
      </c>
      <c r="D11" s="1" t="s">
        <v>63</v>
      </c>
      <c r="E11" s="4" t="s">
        <v>64</v>
      </c>
      <c r="F11" s="4" t="s">
        <v>65</v>
      </c>
      <c r="G11" s="5">
        <v>1.0</v>
      </c>
      <c r="H11" s="6">
        <v>1.0</v>
      </c>
      <c r="I11" s="7">
        <f t="shared" si="1"/>
        <v>1</v>
      </c>
      <c r="J11" s="6">
        <v>1.0</v>
      </c>
      <c r="K11" s="7">
        <f t="shared" si="2"/>
        <v>1</v>
      </c>
      <c r="L11" s="6">
        <v>1.0</v>
      </c>
      <c r="M11" s="7">
        <f t="shared" si="3"/>
        <v>1</v>
      </c>
      <c r="N11" s="6">
        <v>1.0</v>
      </c>
      <c r="O11" s="7">
        <f t="shared" si="4"/>
        <v>1</v>
      </c>
      <c r="P11" s="6">
        <v>1.0</v>
      </c>
      <c r="Q11" s="7">
        <f t="shared" si="5"/>
        <v>1</v>
      </c>
      <c r="R11" s="6">
        <v>1.0</v>
      </c>
      <c r="S11" s="7">
        <f t="shared" si="6"/>
        <v>1</v>
      </c>
      <c r="T11" s="6">
        <v>1.0</v>
      </c>
      <c r="U11" s="7">
        <f t="shared" si="7"/>
        <v>1</v>
      </c>
      <c r="V11" s="6">
        <v>1.0</v>
      </c>
      <c r="W11" s="7">
        <f t="shared" si="8"/>
        <v>1</v>
      </c>
      <c r="X11" s="6">
        <v>1.0</v>
      </c>
      <c r="Y11" s="7">
        <f t="shared" si="9"/>
        <v>1</v>
      </c>
      <c r="Z11" s="6">
        <v>1.0</v>
      </c>
      <c r="AA11" s="7">
        <f t="shared" si="10"/>
        <v>1</v>
      </c>
      <c r="AB11" s="6">
        <v>1.0</v>
      </c>
      <c r="AC11" s="7">
        <f t="shared" si="11"/>
        <v>1</v>
      </c>
      <c r="AD11" s="6">
        <v>1.0</v>
      </c>
      <c r="AE11" s="7">
        <f t="shared" si="12"/>
        <v>1</v>
      </c>
      <c r="AF11" s="6">
        <v>1.0</v>
      </c>
      <c r="AG11" s="7">
        <f t="shared" si="13"/>
        <v>1</v>
      </c>
      <c r="AH11" s="6">
        <v>1.0</v>
      </c>
      <c r="AI11" s="7">
        <f t="shared" si="14"/>
        <v>1</v>
      </c>
      <c r="AJ11" s="6">
        <v>1.0</v>
      </c>
      <c r="AK11" s="7">
        <f t="shared" si="15"/>
        <v>1</v>
      </c>
      <c r="AL11" s="6">
        <v>1.0</v>
      </c>
      <c r="AM11" s="7">
        <f t="shared" si="16"/>
        <v>1</v>
      </c>
      <c r="AN11" s="6">
        <v>1.0</v>
      </c>
      <c r="AO11" s="7">
        <f t="shared" si="17"/>
        <v>1</v>
      </c>
      <c r="AP11" s="6">
        <v>1.0</v>
      </c>
      <c r="AQ11" s="7">
        <f t="shared" si="18"/>
        <v>1</v>
      </c>
      <c r="AR11" s="6">
        <v>1.0</v>
      </c>
      <c r="AS11" s="7">
        <f t="shared" si="19"/>
        <v>1</v>
      </c>
      <c r="AT11" s="6">
        <v>1.0</v>
      </c>
      <c r="AU11" s="7">
        <f t="shared" si="20"/>
        <v>1</v>
      </c>
      <c r="AV11" s="6">
        <v>1.0</v>
      </c>
      <c r="AW11" s="7">
        <f t="shared" si="21"/>
        <v>1</v>
      </c>
    </row>
    <row r="12" ht="18.0" customHeight="1">
      <c r="A12" s="3">
        <v>10.0</v>
      </c>
      <c r="B12" s="3" t="s">
        <v>52</v>
      </c>
      <c r="C12" s="3" t="s">
        <v>66</v>
      </c>
      <c r="D12" s="1" t="s">
        <v>67</v>
      </c>
      <c r="E12" s="4" t="s">
        <v>68</v>
      </c>
      <c r="F12" s="4" t="s">
        <v>69</v>
      </c>
      <c r="G12" s="5">
        <v>1.0</v>
      </c>
      <c r="H12" s="6">
        <v>1.0</v>
      </c>
      <c r="I12" s="7">
        <f t="shared" si="1"/>
        <v>1</v>
      </c>
      <c r="J12" s="6">
        <v>1.0</v>
      </c>
      <c r="K12" s="7">
        <f t="shared" si="2"/>
        <v>1</v>
      </c>
      <c r="L12" s="6">
        <v>1.0</v>
      </c>
      <c r="M12" s="7">
        <f t="shared" si="3"/>
        <v>1</v>
      </c>
      <c r="N12" s="6">
        <v>2.0</v>
      </c>
      <c r="O12" s="7">
        <f t="shared" si="4"/>
        <v>0</v>
      </c>
      <c r="P12" s="6" t="s">
        <v>36</v>
      </c>
      <c r="Q12" s="7">
        <f t="shared" si="5"/>
        <v>0</v>
      </c>
      <c r="R12" s="6">
        <v>1.0</v>
      </c>
      <c r="S12" s="7">
        <f t="shared" si="6"/>
        <v>1</v>
      </c>
      <c r="T12" s="6">
        <v>1.0</v>
      </c>
      <c r="U12" s="7">
        <f t="shared" si="7"/>
        <v>1</v>
      </c>
      <c r="V12" s="6">
        <v>1.0</v>
      </c>
      <c r="W12" s="7">
        <f t="shared" si="8"/>
        <v>1</v>
      </c>
      <c r="X12" s="6">
        <v>1.0</v>
      </c>
      <c r="Y12" s="7">
        <f t="shared" si="9"/>
        <v>1</v>
      </c>
      <c r="Z12" s="6">
        <v>1.0</v>
      </c>
      <c r="AA12" s="7">
        <f t="shared" si="10"/>
        <v>1</v>
      </c>
      <c r="AB12" s="6">
        <v>2.0</v>
      </c>
      <c r="AC12" s="7">
        <f t="shared" si="11"/>
        <v>0</v>
      </c>
      <c r="AD12" s="6">
        <v>1.0</v>
      </c>
      <c r="AE12" s="7">
        <f t="shared" si="12"/>
        <v>1</v>
      </c>
      <c r="AF12" s="6">
        <v>1.0</v>
      </c>
      <c r="AG12" s="7">
        <f t="shared" si="13"/>
        <v>1</v>
      </c>
      <c r="AH12" s="6">
        <v>1.0</v>
      </c>
      <c r="AI12" s="7">
        <f t="shared" si="14"/>
        <v>1</v>
      </c>
      <c r="AJ12" s="6">
        <v>1.0</v>
      </c>
      <c r="AK12" s="7">
        <f t="shared" si="15"/>
        <v>1</v>
      </c>
      <c r="AL12" s="6">
        <v>1.0</v>
      </c>
      <c r="AM12" s="7">
        <f t="shared" si="16"/>
        <v>1</v>
      </c>
      <c r="AN12" s="6">
        <v>1.0</v>
      </c>
      <c r="AO12" s="7">
        <f t="shared" si="17"/>
        <v>1</v>
      </c>
      <c r="AP12" s="6">
        <v>1.0</v>
      </c>
      <c r="AQ12" s="7">
        <f t="shared" si="18"/>
        <v>1</v>
      </c>
      <c r="AR12" s="6">
        <v>1.0</v>
      </c>
      <c r="AS12" s="7">
        <f t="shared" si="19"/>
        <v>1</v>
      </c>
      <c r="AT12" s="6">
        <v>1.0</v>
      </c>
      <c r="AU12" s="7">
        <f t="shared" si="20"/>
        <v>1</v>
      </c>
      <c r="AV12" s="6">
        <v>1.0</v>
      </c>
      <c r="AW12" s="7">
        <f t="shared" si="21"/>
        <v>1</v>
      </c>
    </row>
    <row r="13" ht="18.0" customHeight="1">
      <c r="A13" s="3">
        <v>11.0</v>
      </c>
      <c r="B13" s="3" t="s">
        <v>70</v>
      </c>
      <c r="C13" s="3" t="s">
        <v>71</v>
      </c>
      <c r="D13" s="1" t="s">
        <v>63</v>
      </c>
      <c r="E13" s="4" t="s">
        <v>72</v>
      </c>
      <c r="F13" s="4" t="s">
        <v>73</v>
      </c>
      <c r="G13" s="5">
        <v>1.0</v>
      </c>
      <c r="H13" s="6">
        <v>1.0</v>
      </c>
      <c r="I13" s="7">
        <f t="shared" si="1"/>
        <v>1</v>
      </c>
      <c r="J13" s="6" t="s">
        <v>36</v>
      </c>
      <c r="K13" s="7">
        <f t="shared" si="2"/>
        <v>0</v>
      </c>
      <c r="L13" s="6" t="s">
        <v>36</v>
      </c>
      <c r="M13" s="7">
        <f t="shared" si="3"/>
        <v>0</v>
      </c>
      <c r="N13" s="6">
        <v>1.0</v>
      </c>
      <c r="O13" s="7">
        <f t="shared" si="4"/>
        <v>1</v>
      </c>
      <c r="P13" s="6" t="s">
        <v>36</v>
      </c>
      <c r="Q13" s="7">
        <f t="shared" si="5"/>
        <v>0</v>
      </c>
      <c r="R13" s="6" t="s">
        <v>36</v>
      </c>
      <c r="S13" s="7">
        <f t="shared" si="6"/>
        <v>0</v>
      </c>
      <c r="T13" s="6">
        <v>2.0</v>
      </c>
      <c r="U13" s="7">
        <f t="shared" si="7"/>
        <v>0</v>
      </c>
      <c r="V13" s="6">
        <v>1.0</v>
      </c>
      <c r="W13" s="7">
        <f t="shared" si="8"/>
        <v>1</v>
      </c>
      <c r="X13" s="6">
        <v>2.0</v>
      </c>
      <c r="Y13" s="7">
        <f t="shared" si="9"/>
        <v>0</v>
      </c>
      <c r="Z13" s="6" t="s">
        <v>36</v>
      </c>
      <c r="AA13" s="7">
        <f t="shared" si="10"/>
        <v>0</v>
      </c>
      <c r="AB13" s="6">
        <v>1.0</v>
      </c>
      <c r="AC13" s="7">
        <f t="shared" si="11"/>
        <v>1</v>
      </c>
      <c r="AD13" s="6" t="s">
        <v>36</v>
      </c>
      <c r="AE13" s="7">
        <f t="shared" si="12"/>
        <v>0</v>
      </c>
      <c r="AF13" s="6">
        <v>1.0</v>
      </c>
      <c r="AG13" s="7">
        <f t="shared" si="13"/>
        <v>1</v>
      </c>
      <c r="AH13" s="6" t="s">
        <v>36</v>
      </c>
      <c r="AI13" s="7">
        <f t="shared" si="14"/>
        <v>0</v>
      </c>
      <c r="AJ13" s="6">
        <v>1.0</v>
      </c>
      <c r="AK13" s="7">
        <f t="shared" si="15"/>
        <v>1</v>
      </c>
      <c r="AL13" s="6">
        <v>2.0</v>
      </c>
      <c r="AM13" s="7">
        <f t="shared" si="16"/>
        <v>0</v>
      </c>
      <c r="AN13" s="6">
        <v>1.0</v>
      </c>
      <c r="AO13" s="7">
        <f t="shared" si="17"/>
        <v>1</v>
      </c>
      <c r="AP13" s="6">
        <v>2.0</v>
      </c>
      <c r="AQ13" s="7">
        <f t="shared" si="18"/>
        <v>0</v>
      </c>
      <c r="AR13" s="6">
        <v>1.0</v>
      </c>
      <c r="AS13" s="7">
        <f t="shared" si="19"/>
        <v>1</v>
      </c>
      <c r="AT13" s="6">
        <v>2.0</v>
      </c>
      <c r="AU13" s="7">
        <f t="shared" si="20"/>
        <v>0</v>
      </c>
      <c r="AV13" s="6" t="s">
        <v>36</v>
      </c>
      <c r="AW13" s="7">
        <f t="shared" si="21"/>
        <v>0</v>
      </c>
    </row>
    <row r="14" ht="18.0" customHeight="1">
      <c r="A14" s="3">
        <v>12.0</v>
      </c>
      <c r="B14" s="3" t="s">
        <v>70</v>
      </c>
      <c r="C14" s="3" t="s">
        <v>38</v>
      </c>
      <c r="D14" s="1" t="s">
        <v>67</v>
      </c>
      <c r="E14" s="4" t="s">
        <v>74</v>
      </c>
      <c r="F14" s="4" t="s">
        <v>75</v>
      </c>
      <c r="G14" s="5">
        <v>1.0</v>
      </c>
      <c r="H14" s="6" t="s">
        <v>36</v>
      </c>
      <c r="I14" s="7">
        <f t="shared" si="1"/>
        <v>0</v>
      </c>
      <c r="J14" s="6">
        <v>1.0</v>
      </c>
      <c r="K14" s="7">
        <f t="shared" si="2"/>
        <v>1</v>
      </c>
      <c r="L14" s="6" t="s">
        <v>36</v>
      </c>
      <c r="M14" s="7">
        <f t="shared" si="3"/>
        <v>0</v>
      </c>
      <c r="N14" s="6" t="s">
        <v>36</v>
      </c>
      <c r="O14" s="7">
        <f t="shared" si="4"/>
        <v>0</v>
      </c>
      <c r="P14" s="6">
        <v>1.0</v>
      </c>
      <c r="Q14" s="7">
        <f t="shared" si="5"/>
        <v>1</v>
      </c>
      <c r="R14" s="6">
        <v>1.0</v>
      </c>
      <c r="S14" s="7">
        <f t="shared" si="6"/>
        <v>1</v>
      </c>
      <c r="T14" s="6">
        <v>1.0</v>
      </c>
      <c r="U14" s="7">
        <f t="shared" si="7"/>
        <v>1</v>
      </c>
      <c r="V14" s="6">
        <v>1.0</v>
      </c>
      <c r="W14" s="7">
        <f t="shared" si="8"/>
        <v>1</v>
      </c>
      <c r="X14" s="6">
        <v>1.0</v>
      </c>
      <c r="Y14" s="7">
        <f t="shared" si="9"/>
        <v>1</v>
      </c>
      <c r="Z14" s="6">
        <v>1.0</v>
      </c>
      <c r="AA14" s="7">
        <f t="shared" si="10"/>
        <v>1</v>
      </c>
      <c r="AB14" s="6">
        <v>1.0</v>
      </c>
      <c r="AC14" s="7">
        <f t="shared" si="11"/>
        <v>1</v>
      </c>
      <c r="AD14" s="6" t="s">
        <v>36</v>
      </c>
      <c r="AE14" s="7">
        <f t="shared" si="12"/>
        <v>0</v>
      </c>
      <c r="AF14" s="6">
        <v>1.0</v>
      </c>
      <c r="AG14" s="7">
        <f t="shared" si="13"/>
        <v>1</v>
      </c>
      <c r="AH14" s="6">
        <v>1.0</v>
      </c>
      <c r="AI14" s="7">
        <f t="shared" si="14"/>
        <v>1</v>
      </c>
      <c r="AJ14" s="6">
        <v>2.0</v>
      </c>
      <c r="AK14" s="7">
        <f t="shared" si="15"/>
        <v>0</v>
      </c>
      <c r="AL14" s="6">
        <v>1.0</v>
      </c>
      <c r="AM14" s="7">
        <f t="shared" si="16"/>
        <v>1</v>
      </c>
      <c r="AN14" s="6">
        <v>1.0</v>
      </c>
      <c r="AO14" s="7">
        <f t="shared" si="17"/>
        <v>1</v>
      </c>
      <c r="AP14" s="6">
        <v>2.0</v>
      </c>
      <c r="AQ14" s="7">
        <f t="shared" si="18"/>
        <v>0</v>
      </c>
      <c r="AR14" s="6">
        <v>1.0</v>
      </c>
      <c r="AS14" s="7">
        <f t="shared" si="19"/>
        <v>1</v>
      </c>
      <c r="AT14" s="6">
        <v>1.0</v>
      </c>
      <c r="AU14" s="7">
        <f t="shared" si="20"/>
        <v>1</v>
      </c>
      <c r="AV14" s="6">
        <v>2.0</v>
      </c>
      <c r="AW14" s="7">
        <f t="shared" si="21"/>
        <v>0</v>
      </c>
    </row>
    <row r="15" ht="18.0" customHeight="1">
      <c r="A15" s="3">
        <v>13.0</v>
      </c>
      <c r="B15" s="3" t="s">
        <v>70</v>
      </c>
      <c r="C15" s="3" t="s">
        <v>76</v>
      </c>
      <c r="D15" s="1" t="s">
        <v>77</v>
      </c>
      <c r="E15" s="4" t="s">
        <v>78</v>
      </c>
      <c r="F15" s="4" t="s">
        <v>79</v>
      </c>
      <c r="G15" s="5">
        <v>1.0</v>
      </c>
      <c r="H15" s="6">
        <v>1.0</v>
      </c>
      <c r="I15" s="7">
        <f t="shared" si="1"/>
        <v>1</v>
      </c>
      <c r="J15" s="6">
        <v>1.0</v>
      </c>
      <c r="K15" s="7">
        <f t="shared" si="2"/>
        <v>1</v>
      </c>
      <c r="L15" s="6">
        <v>1.0</v>
      </c>
      <c r="M15" s="7">
        <f t="shared" si="3"/>
        <v>1</v>
      </c>
      <c r="N15" s="6">
        <v>1.0</v>
      </c>
      <c r="O15" s="7">
        <f t="shared" si="4"/>
        <v>1</v>
      </c>
      <c r="P15" s="6">
        <v>1.0</v>
      </c>
      <c r="Q15" s="7">
        <f t="shared" si="5"/>
        <v>1</v>
      </c>
      <c r="R15" s="6">
        <v>1.0</v>
      </c>
      <c r="S15" s="7">
        <f t="shared" si="6"/>
        <v>1</v>
      </c>
      <c r="T15" s="6">
        <v>1.0</v>
      </c>
      <c r="U15" s="7">
        <f t="shared" si="7"/>
        <v>1</v>
      </c>
      <c r="V15" s="6">
        <v>1.0</v>
      </c>
      <c r="W15" s="7">
        <f t="shared" si="8"/>
        <v>1</v>
      </c>
      <c r="X15" s="6">
        <v>1.0</v>
      </c>
      <c r="Y15" s="7">
        <f t="shared" si="9"/>
        <v>1</v>
      </c>
      <c r="Z15" s="6">
        <v>1.0</v>
      </c>
      <c r="AA15" s="7">
        <f t="shared" si="10"/>
        <v>1</v>
      </c>
      <c r="AB15" s="6">
        <v>1.0</v>
      </c>
      <c r="AC15" s="7">
        <f t="shared" si="11"/>
        <v>1</v>
      </c>
      <c r="AD15" s="6">
        <v>1.0</v>
      </c>
      <c r="AE15" s="7">
        <f t="shared" si="12"/>
        <v>1</v>
      </c>
      <c r="AF15" s="6">
        <v>1.0</v>
      </c>
      <c r="AG15" s="7">
        <f t="shared" si="13"/>
        <v>1</v>
      </c>
      <c r="AH15" s="6">
        <v>1.0</v>
      </c>
      <c r="AI15" s="7">
        <f t="shared" si="14"/>
        <v>1</v>
      </c>
      <c r="AJ15" s="6">
        <v>1.0</v>
      </c>
      <c r="AK15" s="7">
        <f t="shared" si="15"/>
        <v>1</v>
      </c>
      <c r="AL15" s="6">
        <v>1.0</v>
      </c>
      <c r="AM15" s="7">
        <f t="shared" si="16"/>
        <v>1</v>
      </c>
      <c r="AN15" s="6">
        <v>1.0</v>
      </c>
      <c r="AO15" s="7">
        <f t="shared" si="17"/>
        <v>1</v>
      </c>
      <c r="AP15" s="6">
        <v>1.0</v>
      </c>
      <c r="AQ15" s="7">
        <f t="shared" si="18"/>
        <v>1</v>
      </c>
      <c r="AR15" s="6">
        <v>1.0</v>
      </c>
      <c r="AS15" s="7">
        <f t="shared" si="19"/>
        <v>1</v>
      </c>
      <c r="AT15" s="6">
        <v>1.0</v>
      </c>
      <c r="AU15" s="7">
        <f t="shared" si="20"/>
        <v>1</v>
      </c>
      <c r="AV15" s="6">
        <v>1.0</v>
      </c>
      <c r="AW15" s="7">
        <f t="shared" si="21"/>
        <v>1</v>
      </c>
    </row>
    <row r="16" ht="18.0" customHeight="1">
      <c r="A16" s="3">
        <v>14.0</v>
      </c>
      <c r="B16" s="3" t="s">
        <v>70</v>
      </c>
      <c r="C16" s="3" t="s">
        <v>32</v>
      </c>
      <c r="D16" s="1" t="s">
        <v>80</v>
      </c>
      <c r="E16" s="4" t="s">
        <v>81</v>
      </c>
      <c r="F16" s="4" t="s">
        <v>82</v>
      </c>
      <c r="G16" s="5">
        <v>1.0</v>
      </c>
      <c r="H16" s="6">
        <v>1.0</v>
      </c>
      <c r="I16" s="7">
        <f t="shared" si="1"/>
        <v>1</v>
      </c>
      <c r="J16" s="6">
        <v>1.0</v>
      </c>
      <c r="K16" s="7">
        <f t="shared" si="2"/>
        <v>1</v>
      </c>
      <c r="L16" s="6" t="s">
        <v>36</v>
      </c>
      <c r="M16" s="7">
        <f t="shared" si="3"/>
        <v>0</v>
      </c>
      <c r="N16" s="6">
        <v>2.0</v>
      </c>
      <c r="O16" s="7">
        <f t="shared" si="4"/>
        <v>0</v>
      </c>
      <c r="P16" s="6">
        <v>1.0</v>
      </c>
      <c r="Q16" s="7">
        <f t="shared" si="5"/>
        <v>1</v>
      </c>
      <c r="R16" s="6">
        <v>1.0</v>
      </c>
      <c r="S16" s="7">
        <f t="shared" si="6"/>
        <v>1</v>
      </c>
      <c r="T16" s="6">
        <v>1.0</v>
      </c>
      <c r="U16" s="7">
        <f t="shared" si="7"/>
        <v>1</v>
      </c>
      <c r="V16" s="6">
        <v>1.0</v>
      </c>
      <c r="W16" s="7">
        <f t="shared" si="8"/>
        <v>1</v>
      </c>
      <c r="X16" s="6">
        <v>1.0</v>
      </c>
      <c r="Y16" s="7">
        <f t="shared" si="9"/>
        <v>1</v>
      </c>
      <c r="Z16" s="6">
        <v>1.0</v>
      </c>
      <c r="AA16" s="7">
        <f t="shared" si="10"/>
        <v>1</v>
      </c>
      <c r="AB16" s="6">
        <v>1.0</v>
      </c>
      <c r="AC16" s="7">
        <f t="shared" si="11"/>
        <v>1</v>
      </c>
      <c r="AD16" s="6" t="s">
        <v>36</v>
      </c>
      <c r="AE16" s="7">
        <f t="shared" si="12"/>
        <v>0</v>
      </c>
      <c r="AF16" s="6">
        <v>1.0</v>
      </c>
      <c r="AG16" s="7">
        <f t="shared" si="13"/>
        <v>1</v>
      </c>
      <c r="AH16" s="6">
        <v>1.0</v>
      </c>
      <c r="AI16" s="7">
        <f t="shared" si="14"/>
        <v>1</v>
      </c>
      <c r="AJ16" s="6" t="s">
        <v>36</v>
      </c>
      <c r="AK16" s="7">
        <f t="shared" si="15"/>
        <v>0</v>
      </c>
      <c r="AL16" s="6" t="s">
        <v>36</v>
      </c>
      <c r="AM16" s="7">
        <f t="shared" si="16"/>
        <v>0</v>
      </c>
      <c r="AN16" s="6">
        <v>1.0</v>
      </c>
      <c r="AO16" s="7">
        <f t="shared" si="17"/>
        <v>1</v>
      </c>
      <c r="AP16" s="6">
        <v>1.0</v>
      </c>
      <c r="AQ16" s="7">
        <f t="shared" si="18"/>
        <v>1</v>
      </c>
      <c r="AR16" s="6">
        <v>1.0</v>
      </c>
      <c r="AS16" s="7">
        <f t="shared" si="19"/>
        <v>1</v>
      </c>
      <c r="AT16" s="6">
        <v>1.0</v>
      </c>
      <c r="AU16" s="7">
        <f t="shared" si="20"/>
        <v>1</v>
      </c>
      <c r="AV16" s="6">
        <v>1.0</v>
      </c>
      <c r="AW16" s="7">
        <f t="shared" si="21"/>
        <v>1</v>
      </c>
    </row>
    <row r="17" ht="18.0" customHeight="1">
      <c r="A17" s="3">
        <v>15.0</v>
      </c>
      <c r="B17" s="3" t="s">
        <v>83</v>
      </c>
      <c r="C17" s="3" t="s">
        <v>53</v>
      </c>
      <c r="D17" s="1" t="s">
        <v>77</v>
      </c>
      <c r="E17" s="4" t="s">
        <v>84</v>
      </c>
      <c r="F17" s="4" t="s">
        <v>85</v>
      </c>
      <c r="G17" s="5">
        <v>1.0</v>
      </c>
      <c r="H17" s="6">
        <v>2.0</v>
      </c>
      <c r="I17" s="7">
        <f t="shared" si="1"/>
        <v>0</v>
      </c>
      <c r="J17" s="6">
        <v>2.0</v>
      </c>
      <c r="K17" s="7">
        <f t="shared" si="2"/>
        <v>0</v>
      </c>
      <c r="L17" s="6" t="s">
        <v>36</v>
      </c>
      <c r="M17" s="7">
        <f t="shared" si="3"/>
        <v>0</v>
      </c>
      <c r="N17" s="6">
        <v>2.0</v>
      </c>
      <c r="O17" s="7">
        <f t="shared" si="4"/>
        <v>0</v>
      </c>
      <c r="P17" s="6">
        <v>2.0</v>
      </c>
      <c r="Q17" s="7">
        <f t="shared" si="5"/>
        <v>0</v>
      </c>
      <c r="R17" s="6">
        <v>2.0</v>
      </c>
      <c r="S17" s="7">
        <f t="shared" si="6"/>
        <v>0</v>
      </c>
      <c r="T17" s="6" t="s">
        <v>36</v>
      </c>
      <c r="U17" s="7">
        <f t="shared" si="7"/>
        <v>0</v>
      </c>
      <c r="V17" s="6">
        <v>2.0</v>
      </c>
      <c r="W17" s="7">
        <f t="shared" si="8"/>
        <v>0</v>
      </c>
      <c r="X17" s="6">
        <v>2.0</v>
      </c>
      <c r="Y17" s="7">
        <f t="shared" si="9"/>
        <v>0</v>
      </c>
      <c r="Z17" s="6">
        <v>1.0</v>
      </c>
      <c r="AA17" s="7">
        <f t="shared" si="10"/>
        <v>1</v>
      </c>
      <c r="AB17" s="6">
        <v>2.0</v>
      </c>
      <c r="AC17" s="7">
        <f t="shared" si="11"/>
        <v>0</v>
      </c>
      <c r="AD17" s="6" t="s">
        <v>36</v>
      </c>
      <c r="AE17" s="7">
        <f t="shared" si="12"/>
        <v>0</v>
      </c>
      <c r="AF17" s="6">
        <v>2.0</v>
      </c>
      <c r="AG17" s="7">
        <f t="shared" si="13"/>
        <v>0</v>
      </c>
      <c r="AH17" s="6">
        <v>2.0</v>
      </c>
      <c r="AI17" s="7">
        <f t="shared" si="14"/>
        <v>0</v>
      </c>
      <c r="AJ17" s="6">
        <v>2.0</v>
      </c>
      <c r="AK17" s="7">
        <f t="shared" si="15"/>
        <v>0</v>
      </c>
      <c r="AL17" s="6" t="s">
        <v>36</v>
      </c>
      <c r="AM17" s="7">
        <f t="shared" si="16"/>
        <v>0</v>
      </c>
      <c r="AN17" s="6">
        <v>2.0</v>
      </c>
      <c r="AO17" s="7">
        <f t="shared" si="17"/>
        <v>0</v>
      </c>
      <c r="AP17" s="6">
        <v>2.0</v>
      </c>
      <c r="AQ17" s="7">
        <f t="shared" si="18"/>
        <v>0</v>
      </c>
      <c r="AR17" s="6">
        <v>2.0</v>
      </c>
      <c r="AS17" s="7">
        <f t="shared" si="19"/>
        <v>0</v>
      </c>
      <c r="AT17" s="6">
        <v>2.0</v>
      </c>
      <c r="AU17" s="7">
        <f t="shared" si="20"/>
        <v>0</v>
      </c>
      <c r="AV17" s="6">
        <v>2.0</v>
      </c>
      <c r="AW17" s="7">
        <f t="shared" si="21"/>
        <v>0</v>
      </c>
    </row>
    <row r="18" ht="18.0" customHeight="1">
      <c r="A18" s="3">
        <v>16.0</v>
      </c>
      <c r="B18" s="3" t="s">
        <v>83</v>
      </c>
      <c r="C18" s="3" t="s">
        <v>45</v>
      </c>
      <c r="D18" s="1" t="s">
        <v>80</v>
      </c>
      <c r="E18" s="4" t="s">
        <v>86</v>
      </c>
      <c r="F18" s="4" t="s">
        <v>87</v>
      </c>
      <c r="G18" s="5">
        <v>1.0</v>
      </c>
      <c r="H18" s="6">
        <v>1.0</v>
      </c>
      <c r="I18" s="7">
        <f t="shared" si="1"/>
        <v>1</v>
      </c>
      <c r="J18" s="6" t="s">
        <v>36</v>
      </c>
      <c r="K18" s="7">
        <f t="shared" si="2"/>
        <v>0</v>
      </c>
      <c r="L18" s="6" t="s">
        <v>36</v>
      </c>
      <c r="M18" s="7">
        <f t="shared" si="3"/>
        <v>0</v>
      </c>
      <c r="N18" s="6" t="s">
        <v>36</v>
      </c>
      <c r="O18" s="7">
        <f t="shared" si="4"/>
        <v>0</v>
      </c>
      <c r="P18" s="6" t="s">
        <v>36</v>
      </c>
      <c r="Q18" s="7">
        <f t="shared" si="5"/>
        <v>0</v>
      </c>
      <c r="R18" s="6" t="s">
        <v>36</v>
      </c>
      <c r="S18" s="7">
        <f t="shared" si="6"/>
        <v>0</v>
      </c>
      <c r="T18" s="6" t="s">
        <v>36</v>
      </c>
      <c r="U18" s="7">
        <f t="shared" si="7"/>
        <v>0</v>
      </c>
      <c r="V18" s="6">
        <v>1.0</v>
      </c>
      <c r="W18" s="7">
        <f t="shared" si="8"/>
        <v>1</v>
      </c>
      <c r="X18" s="6">
        <v>1.0</v>
      </c>
      <c r="Y18" s="7">
        <f t="shared" si="9"/>
        <v>1</v>
      </c>
      <c r="Z18" s="6">
        <v>2.0</v>
      </c>
      <c r="AA18" s="7">
        <f t="shared" si="10"/>
        <v>0</v>
      </c>
      <c r="AB18" s="6" t="s">
        <v>36</v>
      </c>
      <c r="AC18" s="7">
        <f t="shared" si="11"/>
        <v>0</v>
      </c>
      <c r="AD18" s="6">
        <v>1.0</v>
      </c>
      <c r="AE18" s="7">
        <f t="shared" si="12"/>
        <v>1</v>
      </c>
      <c r="AF18" s="6" t="s">
        <v>49</v>
      </c>
      <c r="AG18" s="7">
        <f t="shared" si="13"/>
        <v>0</v>
      </c>
      <c r="AH18" s="6">
        <v>1.0</v>
      </c>
      <c r="AI18" s="7">
        <f t="shared" si="14"/>
        <v>1</v>
      </c>
      <c r="AJ18" s="6">
        <v>1.0</v>
      </c>
      <c r="AK18" s="7">
        <f t="shared" si="15"/>
        <v>1</v>
      </c>
      <c r="AL18" s="6">
        <v>1.0</v>
      </c>
      <c r="AM18" s="7">
        <f t="shared" si="16"/>
        <v>1</v>
      </c>
      <c r="AN18" s="6">
        <v>2.0</v>
      </c>
      <c r="AO18" s="7">
        <f t="shared" si="17"/>
        <v>0</v>
      </c>
      <c r="AP18" s="6">
        <v>1.0</v>
      </c>
      <c r="AQ18" s="7">
        <f t="shared" si="18"/>
        <v>1</v>
      </c>
      <c r="AR18" s="6">
        <v>2.0</v>
      </c>
      <c r="AS18" s="7">
        <f t="shared" si="19"/>
        <v>0</v>
      </c>
      <c r="AT18" s="6">
        <v>2.0</v>
      </c>
      <c r="AU18" s="7">
        <f t="shared" si="20"/>
        <v>0</v>
      </c>
      <c r="AV18" s="6" t="s">
        <v>36</v>
      </c>
      <c r="AW18" s="7">
        <f t="shared" si="21"/>
        <v>0</v>
      </c>
    </row>
    <row r="19" ht="18.0" customHeight="1">
      <c r="A19" s="3">
        <v>17.0</v>
      </c>
      <c r="B19" s="3" t="s">
        <v>83</v>
      </c>
      <c r="C19" s="3" t="s">
        <v>32</v>
      </c>
      <c r="D19" s="1" t="s">
        <v>88</v>
      </c>
      <c r="E19" s="4" t="s">
        <v>89</v>
      </c>
      <c r="F19" s="4" t="s">
        <v>90</v>
      </c>
      <c r="G19" s="5">
        <v>1.0</v>
      </c>
      <c r="H19" s="6">
        <v>1.0</v>
      </c>
      <c r="I19" s="7">
        <f t="shared" si="1"/>
        <v>1</v>
      </c>
      <c r="J19" s="6">
        <v>1.0</v>
      </c>
      <c r="K19" s="7">
        <f t="shared" si="2"/>
        <v>1</v>
      </c>
      <c r="L19" s="6">
        <v>1.0</v>
      </c>
      <c r="M19" s="7">
        <f t="shared" si="3"/>
        <v>1</v>
      </c>
      <c r="N19" s="6" t="s">
        <v>36</v>
      </c>
      <c r="O19" s="7">
        <f t="shared" si="4"/>
        <v>0</v>
      </c>
      <c r="P19" s="6">
        <v>1.0</v>
      </c>
      <c r="Q19" s="7">
        <f t="shared" si="5"/>
        <v>1</v>
      </c>
      <c r="R19" s="6">
        <v>1.0</v>
      </c>
      <c r="S19" s="7">
        <f t="shared" si="6"/>
        <v>1</v>
      </c>
      <c r="T19" s="6">
        <v>1.0</v>
      </c>
      <c r="U19" s="7">
        <f t="shared" si="7"/>
        <v>1</v>
      </c>
      <c r="V19" s="6" t="s">
        <v>36</v>
      </c>
      <c r="W19" s="7">
        <f t="shared" si="8"/>
        <v>0</v>
      </c>
      <c r="X19" s="6">
        <v>1.0</v>
      </c>
      <c r="Y19" s="7">
        <f t="shared" si="9"/>
        <v>1</v>
      </c>
      <c r="Z19" s="6">
        <v>1.0</v>
      </c>
      <c r="AA19" s="7">
        <f t="shared" si="10"/>
        <v>1</v>
      </c>
      <c r="AB19" s="6">
        <v>1.0</v>
      </c>
      <c r="AC19" s="7">
        <f t="shared" si="11"/>
        <v>1</v>
      </c>
      <c r="AD19" s="6">
        <v>1.0</v>
      </c>
      <c r="AE19" s="7">
        <f t="shared" si="12"/>
        <v>1</v>
      </c>
      <c r="AF19" s="6">
        <v>1.0</v>
      </c>
      <c r="AG19" s="7">
        <f t="shared" si="13"/>
        <v>1</v>
      </c>
      <c r="AH19" s="6">
        <v>1.0</v>
      </c>
      <c r="AI19" s="7">
        <f t="shared" si="14"/>
        <v>1</v>
      </c>
      <c r="AJ19" s="6">
        <v>2.0</v>
      </c>
      <c r="AK19" s="7">
        <f t="shared" si="15"/>
        <v>0</v>
      </c>
      <c r="AL19" s="6">
        <v>1.0</v>
      </c>
      <c r="AM19" s="7">
        <f t="shared" si="16"/>
        <v>1</v>
      </c>
      <c r="AN19" s="6">
        <v>1.0</v>
      </c>
      <c r="AO19" s="7">
        <f t="shared" si="17"/>
        <v>1</v>
      </c>
      <c r="AP19" s="6">
        <v>1.0</v>
      </c>
      <c r="AQ19" s="7">
        <f t="shared" si="18"/>
        <v>1</v>
      </c>
      <c r="AR19" s="6">
        <v>1.0</v>
      </c>
      <c r="AS19" s="7">
        <f t="shared" si="19"/>
        <v>1</v>
      </c>
      <c r="AT19" s="6">
        <v>2.0</v>
      </c>
      <c r="AU19" s="7">
        <f t="shared" si="20"/>
        <v>0</v>
      </c>
      <c r="AV19" s="6">
        <v>1.0</v>
      </c>
      <c r="AW19" s="7">
        <f t="shared" si="21"/>
        <v>1</v>
      </c>
    </row>
    <row r="20" ht="18.0" customHeight="1">
      <c r="A20" s="3">
        <v>18.0</v>
      </c>
      <c r="B20" s="3" t="s">
        <v>91</v>
      </c>
      <c r="C20" s="3" t="s">
        <v>53</v>
      </c>
      <c r="D20" s="1" t="s">
        <v>88</v>
      </c>
      <c r="E20" s="4" t="s">
        <v>92</v>
      </c>
      <c r="F20" s="4" t="s">
        <v>93</v>
      </c>
      <c r="G20" s="5">
        <v>1.0</v>
      </c>
      <c r="H20" s="6">
        <v>2.0</v>
      </c>
      <c r="I20" s="7">
        <f t="shared" si="1"/>
        <v>0</v>
      </c>
      <c r="J20" s="6">
        <v>2.0</v>
      </c>
      <c r="K20" s="7">
        <f t="shared" si="2"/>
        <v>0</v>
      </c>
      <c r="L20" s="6">
        <v>2.0</v>
      </c>
      <c r="M20" s="7">
        <f t="shared" si="3"/>
        <v>0</v>
      </c>
      <c r="N20" s="6">
        <v>2.0</v>
      </c>
      <c r="O20" s="7">
        <f t="shared" si="4"/>
        <v>0</v>
      </c>
      <c r="P20" s="6">
        <v>2.0</v>
      </c>
      <c r="Q20" s="7">
        <f t="shared" si="5"/>
        <v>0</v>
      </c>
      <c r="R20" s="6">
        <v>2.0</v>
      </c>
      <c r="S20" s="7">
        <f t="shared" si="6"/>
        <v>0</v>
      </c>
      <c r="T20" s="6">
        <v>2.0</v>
      </c>
      <c r="U20" s="7">
        <f t="shared" si="7"/>
        <v>0</v>
      </c>
      <c r="V20" s="6">
        <v>2.0</v>
      </c>
      <c r="W20" s="7">
        <f t="shared" si="8"/>
        <v>0</v>
      </c>
      <c r="X20" s="6">
        <v>2.0</v>
      </c>
      <c r="Y20" s="7">
        <f t="shared" si="9"/>
        <v>0</v>
      </c>
      <c r="Z20" s="6">
        <v>2.0</v>
      </c>
      <c r="AA20" s="7">
        <f t="shared" si="10"/>
        <v>0</v>
      </c>
      <c r="AB20" s="6">
        <v>2.0</v>
      </c>
      <c r="AC20" s="7">
        <f t="shared" si="11"/>
        <v>0</v>
      </c>
      <c r="AD20" s="6" t="s">
        <v>36</v>
      </c>
      <c r="AE20" s="7">
        <f t="shared" si="12"/>
        <v>0</v>
      </c>
      <c r="AF20" s="6">
        <v>2.0</v>
      </c>
      <c r="AG20" s="7">
        <f t="shared" si="13"/>
        <v>0</v>
      </c>
      <c r="AH20" s="6">
        <v>2.0</v>
      </c>
      <c r="AI20" s="7">
        <f t="shared" si="14"/>
        <v>0</v>
      </c>
      <c r="AJ20" s="6">
        <v>2.0</v>
      </c>
      <c r="AK20" s="7">
        <f t="shared" si="15"/>
        <v>0</v>
      </c>
      <c r="AL20" s="6">
        <v>2.0</v>
      </c>
      <c r="AM20" s="7">
        <f t="shared" si="16"/>
        <v>0</v>
      </c>
      <c r="AN20" s="6">
        <v>2.0</v>
      </c>
      <c r="AO20" s="7">
        <f t="shared" si="17"/>
        <v>0</v>
      </c>
      <c r="AP20" s="6">
        <v>2.0</v>
      </c>
      <c r="AQ20" s="7">
        <f t="shared" si="18"/>
        <v>0</v>
      </c>
      <c r="AR20" s="6">
        <v>2.0</v>
      </c>
      <c r="AS20" s="7">
        <f t="shared" si="19"/>
        <v>0</v>
      </c>
      <c r="AT20" s="6">
        <v>2.0</v>
      </c>
      <c r="AU20" s="7">
        <f t="shared" si="20"/>
        <v>0</v>
      </c>
      <c r="AV20" s="6">
        <v>2.0</v>
      </c>
      <c r="AW20" s="7">
        <f t="shared" si="21"/>
        <v>0</v>
      </c>
    </row>
    <row r="21" ht="18.0" customHeight="1">
      <c r="A21" s="3">
        <v>19.0</v>
      </c>
      <c r="B21" s="3" t="s">
        <v>91</v>
      </c>
      <c r="C21" s="3" t="s">
        <v>45</v>
      </c>
      <c r="D21" s="1" t="s">
        <v>94</v>
      </c>
      <c r="E21" s="4" t="s">
        <v>95</v>
      </c>
      <c r="F21" s="4" t="s">
        <v>96</v>
      </c>
      <c r="G21" s="5">
        <v>1.0</v>
      </c>
      <c r="H21" s="6">
        <v>1.0</v>
      </c>
      <c r="I21" s="7">
        <f t="shared" si="1"/>
        <v>1</v>
      </c>
      <c r="J21" s="6">
        <v>1.0</v>
      </c>
      <c r="K21" s="7">
        <f t="shared" si="2"/>
        <v>1</v>
      </c>
      <c r="L21" s="6">
        <v>1.0</v>
      </c>
      <c r="M21" s="7">
        <f t="shared" si="3"/>
        <v>1</v>
      </c>
      <c r="N21" s="6">
        <v>1.0</v>
      </c>
      <c r="O21" s="7">
        <f t="shared" si="4"/>
        <v>1</v>
      </c>
      <c r="P21" s="6">
        <v>1.0</v>
      </c>
      <c r="Q21" s="7">
        <f t="shared" si="5"/>
        <v>1</v>
      </c>
      <c r="R21" s="6">
        <v>1.0</v>
      </c>
      <c r="S21" s="7">
        <f t="shared" si="6"/>
        <v>1</v>
      </c>
      <c r="T21" s="6">
        <v>1.0</v>
      </c>
      <c r="U21" s="7">
        <f t="shared" si="7"/>
        <v>1</v>
      </c>
      <c r="V21" s="6" t="s">
        <v>36</v>
      </c>
      <c r="W21" s="7">
        <f t="shared" si="8"/>
        <v>0</v>
      </c>
      <c r="X21" s="6">
        <v>1.0</v>
      </c>
      <c r="Y21" s="7">
        <f t="shared" si="9"/>
        <v>1</v>
      </c>
      <c r="Z21" s="6">
        <v>1.0</v>
      </c>
      <c r="AA21" s="7">
        <f t="shared" si="10"/>
        <v>1</v>
      </c>
      <c r="AB21" s="6">
        <v>1.0</v>
      </c>
      <c r="AC21" s="7">
        <f t="shared" si="11"/>
        <v>1</v>
      </c>
      <c r="AD21" s="6">
        <v>1.0</v>
      </c>
      <c r="AE21" s="7">
        <f t="shared" si="12"/>
        <v>1</v>
      </c>
      <c r="AF21" s="6">
        <v>1.0</v>
      </c>
      <c r="AG21" s="7">
        <f t="shared" si="13"/>
        <v>1</v>
      </c>
      <c r="AH21" s="6">
        <v>1.0</v>
      </c>
      <c r="AI21" s="7">
        <f t="shared" si="14"/>
        <v>1</v>
      </c>
      <c r="AJ21" s="6">
        <v>1.0</v>
      </c>
      <c r="AK21" s="7">
        <f t="shared" si="15"/>
        <v>1</v>
      </c>
      <c r="AL21" s="6">
        <v>1.0</v>
      </c>
      <c r="AM21" s="7">
        <f t="shared" si="16"/>
        <v>1</v>
      </c>
      <c r="AN21" s="6">
        <v>1.0</v>
      </c>
      <c r="AO21" s="7">
        <f t="shared" si="17"/>
        <v>1</v>
      </c>
      <c r="AP21" s="6">
        <v>1.0</v>
      </c>
      <c r="AQ21" s="7">
        <f t="shared" si="18"/>
        <v>1</v>
      </c>
      <c r="AR21" s="6">
        <v>1.0</v>
      </c>
      <c r="AS21" s="7">
        <f t="shared" si="19"/>
        <v>1</v>
      </c>
      <c r="AT21" s="6">
        <v>1.0</v>
      </c>
      <c r="AU21" s="7">
        <f t="shared" si="20"/>
        <v>1</v>
      </c>
      <c r="AV21" s="6">
        <v>1.0</v>
      </c>
      <c r="AW21" s="7">
        <f t="shared" si="21"/>
        <v>1</v>
      </c>
    </row>
    <row r="22" ht="18.0" customHeight="1">
      <c r="A22" s="3">
        <v>20.0</v>
      </c>
      <c r="B22" s="3" t="s">
        <v>91</v>
      </c>
      <c r="C22" s="3" t="s">
        <v>59</v>
      </c>
      <c r="D22" s="1" t="s">
        <v>94</v>
      </c>
      <c r="E22" s="4" t="s">
        <v>97</v>
      </c>
      <c r="F22" s="4" t="s">
        <v>98</v>
      </c>
      <c r="G22" s="5">
        <v>1.0</v>
      </c>
      <c r="H22" s="6" t="s">
        <v>36</v>
      </c>
      <c r="I22" s="7">
        <f t="shared" si="1"/>
        <v>0</v>
      </c>
      <c r="J22" s="6">
        <v>1.0</v>
      </c>
      <c r="K22" s="7">
        <f t="shared" si="2"/>
        <v>1</v>
      </c>
      <c r="L22" s="6" t="s">
        <v>36</v>
      </c>
      <c r="M22" s="7">
        <f t="shared" si="3"/>
        <v>0</v>
      </c>
      <c r="N22" s="6">
        <v>1.0</v>
      </c>
      <c r="O22" s="7">
        <f t="shared" si="4"/>
        <v>1</v>
      </c>
      <c r="P22" s="6">
        <v>1.0</v>
      </c>
      <c r="Q22" s="7">
        <f t="shared" si="5"/>
        <v>1</v>
      </c>
      <c r="R22" s="6">
        <v>1.0</v>
      </c>
      <c r="S22" s="7">
        <f t="shared" si="6"/>
        <v>1</v>
      </c>
      <c r="T22" s="6">
        <v>1.0</v>
      </c>
      <c r="U22" s="7">
        <f t="shared" si="7"/>
        <v>1</v>
      </c>
      <c r="V22" s="6">
        <v>1.0</v>
      </c>
      <c r="W22" s="7">
        <f t="shared" si="8"/>
        <v>1</v>
      </c>
      <c r="X22" s="6">
        <v>1.0</v>
      </c>
      <c r="Y22" s="7">
        <f t="shared" si="9"/>
        <v>1</v>
      </c>
      <c r="Z22" s="6">
        <v>1.0</v>
      </c>
      <c r="AA22" s="7">
        <f t="shared" si="10"/>
        <v>1</v>
      </c>
      <c r="AB22" s="6" t="s">
        <v>36</v>
      </c>
      <c r="AC22" s="7">
        <f t="shared" si="11"/>
        <v>0</v>
      </c>
      <c r="AD22" s="6" t="s">
        <v>36</v>
      </c>
      <c r="AE22" s="7">
        <f t="shared" si="12"/>
        <v>0</v>
      </c>
      <c r="AF22" s="6">
        <v>1.0</v>
      </c>
      <c r="AG22" s="7">
        <f t="shared" si="13"/>
        <v>1</v>
      </c>
      <c r="AH22" s="6">
        <v>1.0</v>
      </c>
      <c r="AI22" s="7">
        <f t="shared" si="14"/>
        <v>1</v>
      </c>
      <c r="AJ22" s="6">
        <v>1.0</v>
      </c>
      <c r="AK22" s="7">
        <f t="shared" si="15"/>
        <v>1</v>
      </c>
      <c r="AL22" s="6" t="s">
        <v>36</v>
      </c>
      <c r="AM22" s="7">
        <f t="shared" si="16"/>
        <v>0</v>
      </c>
      <c r="AN22" s="6">
        <v>1.0</v>
      </c>
      <c r="AO22" s="7">
        <f t="shared" si="17"/>
        <v>1</v>
      </c>
      <c r="AP22" s="6">
        <v>1.0</v>
      </c>
      <c r="AQ22" s="7">
        <f t="shared" si="18"/>
        <v>1</v>
      </c>
      <c r="AR22" s="6">
        <v>1.0</v>
      </c>
      <c r="AS22" s="7">
        <f t="shared" si="19"/>
        <v>1</v>
      </c>
      <c r="AT22" s="6">
        <v>1.0</v>
      </c>
      <c r="AU22" s="7">
        <f t="shared" si="20"/>
        <v>1</v>
      </c>
      <c r="AV22" s="6">
        <v>1.0</v>
      </c>
      <c r="AW22" s="7">
        <f t="shared" si="21"/>
        <v>1</v>
      </c>
    </row>
    <row r="23" ht="18.0" customHeight="1">
      <c r="A23" s="3">
        <v>21.0</v>
      </c>
      <c r="B23" s="3" t="s">
        <v>91</v>
      </c>
      <c r="C23" s="3" t="s">
        <v>62</v>
      </c>
      <c r="D23" s="1" t="s">
        <v>99</v>
      </c>
      <c r="E23" s="4" t="s">
        <v>100</v>
      </c>
      <c r="F23" s="4" t="s">
        <v>101</v>
      </c>
      <c r="G23" s="8"/>
      <c r="H23" s="6">
        <v>1.0</v>
      </c>
      <c r="I23" s="7" t="str">
        <f t="shared" si="1"/>
        <v/>
      </c>
      <c r="J23" s="6">
        <v>1.0</v>
      </c>
      <c r="K23" s="7" t="str">
        <f t="shared" si="2"/>
        <v/>
      </c>
      <c r="L23" s="6">
        <v>1.0</v>
      </c>
      <c r="M23" s="7" t="str">
        <f t="shared" si="3"/>
        <v/>
      </c>
      <c r="N23" s="6">
        <v>1.0</v>
      </c>
      <c r="O23" s="7" t="str">
        <f t="shared" si="4"/>
        <v/>
      </c>
      <c r="P23" s="6">
        <v>1.0</v>
      </c>
      <c r="Q23" s="7" t="str">
        <f t="shared" si="5"/>
        <v/>
      </c>
      <c r="R23" s="6">
        <v>1.0</v>
      </c>
      <c r="S23" s="7" t="str">
        <f t="shared" si="6"/>
        <v/>
      </c>
      <c r="T23" s="6">
        <v>1.0</v>
      </c>
      <c r="U23" s="7" t="str">
        <f t="shared" si="7"/>
        <v/>
      </c>
      <c r="V23" s="6">
        <v>1.0</v>
      </c>
      <c r="W23" s="7" t="str">
        <f t="shared" si="8"/>
        <v/>
      </c>
      <c r="X23" s="6">
        <v>1.0</v>
      </c>
      <c r="Y23" s="7" t="str">
        <f t="shared" si="9"/>
        <v/>
      </c>
      <c r="Z23" s="6">
        <v>1.0</v>
      </c>
      <c r="AA23" s="7" t="str">
        <f t="shared" si="10"/>
        <v/>
      </c>
      <c r="AB23" s="6">
        <v>1.0</v>
      </c>
      <c r="AC23" s="7" t="str">
        <f t="shared" si="11"/>
        <v/>
      </c>
      <c r="AD23" s="6">
        <v>1.0</v>
      </c>
      <c r="AE23" s="7" t="str">
        <f t="shared" si="12"/>
        <v/>
      </c>
      <c r="AF23" s="6">
        <v>1.0</v>
      </c>
      <c r="AG23" s="7" t="str">
        <f t="shared" si="13"/>
        <v/>
      </c>
      <c r="AH23" s="6">
        <v>1.0</v>
      </c>
      <c r="AI23" s="7" t="str">
        <f t="shared" si="14"/>
        <v/>
      </c>
      <c r="AJ23" s="6">
        <v>1.0</v>
      </c>
      <c r="AK23" s="7" t="str">
        <f t="shared" si="15"/>
        <v/>
      </c>
      <c r="AL23" s="6">
        <v>1.0</v>
      </c>
      <c r="AM23" s="7" t="str">
        <f t="shared" si="16"/>
        <v/>
      </c>
      <c r="AN23" s="6">
        <v>1.0</v>
      </c>
      <c r="AO23" s="7" t="str">
        <f t="shared" si="17"/>
        <v/>
      </c>
      <c r="AP23" s="6">
        <v>1.0</v>
      </c>
      <c r="AQ23" s="7" t="str">
        <f t="shared" si="18"/>
        <v/>
      </c>
      <c r="AR23" s="6">
        <v>1.0</v>
      </c>
      <c r="AS23" s="7" t="str">
        <f t="shared" si="19"/>
        <v/>
      </c>
      <c r="AT23" s="6">
        <v>1.0</v>
      </c>
      <c r="AU23" s="7" t="str">
        <f t="shared" si="20"/>
        <v/>
      </c>
      <c r="AV23" s="6">
        <v>1.0</v>
      </c>
      <c r="AW23" s="7" t="str">
        <f t="shared" si="21"/>
        <v/>
      </c>
    </row>
    <row r="24" ht="18.0" customHeight="1">
      <c r="A24" s="3">
        <v>22.0</v>
      </c>
      <c r="B24" s="3" t="s">
        <v>91</v>
      </c>
      <c r="C24" s="3" t="s">
        <v>66</v>
      </c>
      <c r="D24" s="1" t="s">
        <v>102</v>
      </c>
      <c r="E24" s="4" t="s">
        <v>103</v>
      </c>
      <c r="F24" s="4" t="s">
        <v>104</v>
      </c>
      <c r="G24" s="8"/>
      <c r="H24" s="6">
        <v>1.0</v>
      </c>
      <c r="I24" s="7" t="str">
        <f t="shared" si="1"/>
        <v/>
      </c>
      <c r="J24" s="6">
        <v>1.0</v>
      </c>
      <c r="K24" s="7" t="str">
        <f t="shared" si="2"/>
        <v/>
      </c>
      <c r="L24" s="6">
        <v>1.0</v>
      </c>
      <c r="M24" s="7" t="str">
        <f t="shared" si="3"/>
        <v/>
      </c>
      <c r="N24" s="6" t="s">
        <v>36</v>
      </c>
      <c r="O24" s="7" t="str">
        <f t="shared" si="4"/>
        <v/>
      </c>
      <c r="P24" s="6" t="s">
        <v>36</v>
      </c>
      <c r="Q24" s="7" t="str">
        <f t="shared" si="5"/>
        <v/>
      </c>
      <c r="R24" s="6">
        <v>1.0</v>
      </c>
      <c r="S24" s="7" t="str">
        <f t="shared" si="6"/>
        <v/>
      </c>
      <c r="T24" s="6">
        <v>1.0</v>
      </c>
      <c r="U24" s="7" t="str">
        <f t="shared" si="7"/>
        <v/>
      </c>
      <c r="V24" s="6" t="s">
        <v>36</v>
      </c>
      <c r="W24" s="7" t="str">
        <f t="shared" si="8"/>
        <v/>
      </c>
      <c r="X24" s="6" t="s">
        <v>36</v>
      </c>
      <c r="Y24" s="7" t="str">
        <f t="shared" si="9"/>
        <v/>
      </c>
      <c r="Z24" s="6">
        <v>1.0</v>
      </c>
      <c r="AA24" s="7" t="str">
        <f t="shared" si="10"/>
        <v/>
      </c>
      <c r="AB24" s="6" t="s">
        <v>36</v>
      </c>
      <c r="AC24" s="7" t="str">
        <f t="shared" si="11"/>
        <v/>
      </c>
      <c r="AD24" s="6">
        <v>1.0</v>
      </c>
      <c r="AE24" s="7" t="str">
        <f t="shared" si="12"/>
        <v/>
      </c>
      <c r="AF24" s="6" t="s">
        <v>49</v>
      </c>
      <c r="AG24" s="7" t="str">
        <f t="shared" si="13"/>
        <v/>
      </c>
      <c r="AH24" s="6">
        <v>1.0</v>
      </c>
      <c r="AI24" s="7" t="str">
        <f t="shared" si="14"/>
        <v/>
      </c>
      <c r="AJ24" s="6" t="s">
        <v>36</v>
      </c>
      <c r="AK24" s="7" t="str">
        <f t="shared" si="15"/>
        <v/>
      </c>
      <c r="AL24" s="6">
        <v>2.0</v>
      </c>
      <c r="AM24" s="7" t="str">
        <f t="shared" si="16"/>
        <v/>
      </c>
      <c r="AN24" s="6" t="s">
        <v>36</v>
      </c>
      <c r="AO24" s="7" t="str">
        <f t="shared" si="17"/>
        <v/>
      </c>
      <c r="AP24" s="6">
        <v>1.0</v>
      </c>
      <c r="AQ24" s="7" t="str">
        <f t="shared" si="18"/>
        <v/>
      </c>
      <c r="AR24" s="6">
        <v>1.0</v>
      </c>
      <c r="AS24" s="7" t="str">
        <f t="shared" si="19"/>
        <v/>
      </c>
      <c r="AT24" s="6">
        <v>1.0</v>
      </c>
      <c r="AU24" s="7" t="str">
        <f t="shared" si="20"/>
        <v/>
      </c>
      <c r="AV24" s="6">
        <v>1.0</v>
      </c>
      <c r="AW24" s="7" t="str">
        <f t="shared" si="21"/>
        <v/>
      </c>
    </row>
    <row r="25" ht="18.0" customHeight="1">
      <c r="A25" s="3">
        <v>23.0</v>
      </c>
      <c r="B25" s="3" t="s">
        <v>105</v>
      </c>
      <c r="C25" s="3" t="s">
        <v>71</v>
      </c>
      <c r="D25" s="1" t="s">
        <v>102</v>
      </c>
      <c r="E25" s="4" t="s">
        <v>106</v>
      </c>
      <c r="F25" s="4" t="s">
        <v>107</v>
      </c>
      <c r="G25" s="8"/>
      <c r="H25" s="6" t="s">
        <v>36</v>
      </c>
      <c r="I25" s="7" t="str">
        <f t="shared" si="1"/>
        <v/>
      </c>
      <c r="J25" s="6">
        <v>1.0</v>
      </c>
      <c r="K25" s="7" t="str">
        <f t="shared" si="2"/>
        <v/>
      </c>
      <c r="L25" s="6" t="s">
        <v>36</v>
      </c>
      <c r="M25" s="7" t="str">
        <f t="shared" si="3"/>
        <v/>
      </c>
      <c r="N25" s="6">
        <v>1.0</v>
      </c>
      <c r="O25" s="7" t="str">
        <f t="shared" si="4"/>
        <v/>
      </c>
      <c r="P25" s="6" t="s">
        <v>36</v>
      </c>
      <c r="Q25" s="7" t="str">
        <f t="shared" si="5"/>
        <v/>
      </c>
      <c r="R25" s="6">
        <v>1.0</v>
      </c>
      <c r="S25" s="7" t="str">
        <f t="shared" si="6"/>
        <v/>
      </c>
      <c r="T25" s="6">
        <v>1.0</v>
      </c>
      <c r="U25" s="7" t="str">
        <f t="shared" si="7"/>
        <v/>
      </c>
      <c r="V25" s="6">
        <v>1.0</v>
      </c>
      <c r="W25" s="7" t="str">
        <f t="shared" si="8"/>
        <v/>
      </c>
      <c r="X25" s="6">
        <v>1.0</v>
      </c>
      <c r="Y25" s="7" t="str">
        <f t="shared" si="9"/>
        <v/>
      </c>
      <c r="Z25" s="6" t="s">
        <v>36</v>
      </c>
      <c r="AA25" s="7" t="str">
        <f t="shared" si="10"/>
        <v/>
      </c>
      <c r="AB25" s="6">
        <v>1.0</v>
      </c>
      <c r="AC25" s="7" t="str">
        <f t="shared" si="11"/>
        <v/>
      </c>
      <c r="AD25" s="6" t="s">
        <v>36</v>
      </c>
      <c r="AE25" s="7" t="str">
        <f t="shared" si="12"/>
        <v/>
      </c>
      <c r="AF25" s="6">
        <v>2.0</v>
      </c>
      <c r="AG25" s="7" t="str">
        <f t="shared" si="13"/>
        <v/>
      </c>
      <c r="AH25" s="6" t="s">
        <v>36</v>
      </c>
      <c r="AI25" s="7" t="str">
        <f t="shared" si="14"/>
        <v/>
      </c>
      <c r="AJ25" s="6">
        <v>1.0</v>
      </c>
      <c r="AK25" s="7" t="str">
        <f t="shared" si="15"/>
        <v/>
      </c>
      <c r="AL25" s="6">
        <v>1.0</v>
      </c>
      <c r="AM25" s="7" t="str">
        <f t="shared" si="16"/>
        <v/>
      </c>
      <c r="AN25" s="6">
        <v>1.0</v>
      </c>
      <c r="AO25" s="7" t="str">
        <f t="shared" si="17"/>
        <v/>
      </c>
      <c r="AP25" s="6">
        <v>2.0</v>
      </c>
      <c r="AQ25" s="7" t="str">
        <f t="shared" si="18"/>
        <v/>
      </c>
      <c r="AR25" s="6">
        <v>2.0</v>
      </c>
      <c r="AS25" s="7" t="str">
        <f t="shared" si="19"/>
        <v/>
      </c>
      <c r="AT25" s="6">
        <v>1.0</v>
      </c>
      <c r="AU25" s="7" t="str">
        <f t="shared" si="20"/>
        <v/>
      </c>
      <c r="AV25" s="6">
        <v>1.0</v>
      </c>
      <c r="AW25" s="7" t="str">
        <f t="shared" si="21"/>
        <v/>
      </c>
    </row>
    <row r="26" ht="18.0" customHeight="1">
      <c r="A26" s="3">
        <v>24.0</v>
      </c>
      <c r="B26" s="3" t="s">
        <v>105</v>
      </c>
      <c r="C26" s="3" t="s">
        <v>38</v>
      </c>
      <c r="D26" s="1" t="s">
        <v>99</v>
      </c>
      <c r="E26" s="4" t="s">
        <v>108</v>
      </c>
      <c r="F26" s="4" t="s">
        <v>109</v>
      </c>
      <c r="G26" s="8"/>
      <c r="H26" s="6">
        <v>1.0</v>
      </c>
      <c r="I26" s="7" t="str">
        <f t="shared" si="1"/>
        <v/>
      </c>
      <c r="J26" s="6">
        <v>2.0</v>
      </c>
      <c r="K26" s="7" t="str">
        <f t="shared" si="2"/>
        <v/>
      </c>
      <c r="L26" s="6">
        <v>2.0</v>
      </c>
      <c r="M26" s="7" t="str">
        <f t="shared" si="3"/>
        <v/>
      </c>
      <c r="N26" s="6" t="s">
        <v>36</v>
      </c>
      <c r="O26" s="7" t="str">
        <f t="shared" si="4"/>
        <v/>
      </c>
      <c r="P26" s="6">
        <v>2.0</v>
      </c>
      <c r="Q26" s="7" t="str">
        <f t="shared" si="5"/>
        <v/>
      </c>
      <c r="R26" s="6">
        <v>2.0</v>
      </c>
      <c r="S26" s="7" t="str">
        <f t="shared" si="6"/>
        <v/>
      </c>
      <c r="T26" s="6">
        <v>2.0</v>
      </c>
      <c r="U26" s="7" t="str">
        <f t="shared" si="7"/>
        <v/>
      </c>
      <c r="V26" s="6">
        <v>1.0</v>
      </c>
      <c r="W26" s="7" t="str">
        <f t="shared" si="8"/>
        <v/>
      </c>
      <c r="X26" s="6">
        <v>2.0</v>
      </c>
      <c r="Y26" s="7" t="str">
        <f t="shared" si="9"/>
        <v/>
      </c>
      <c r="Z26" s="6">
        <v>2.0</v>
      </c>
      <c r="AA26" s="7" t="str">
        <f t="shared" si="10"/>
        <v/>
      </c>
      <c r="AB26" s="6">
        <v>1.0</v>
      </c>
      <c r="AC26" s="7" t="str">
        <f t="shared" si="11"/>
        <v/>
      </c>
      <c r="AD26" s="6">
        <v>1.0</v>
      </c>
      <c r="AE26" s="7" t="str">
        <f t="shared" si="12"/>
        <v/>
      </c>
      <c r="AF26" s="6">
        <v>1.0</v>
      </c>
      <c r="AG26" s="7" t="str">
        <f t="shared" si="13"/>
        <v/>
      </c>
      <c r="AH26" s="6">
        <v>2.0</v>
      </c>
      <c r="AI26" s="7" t="str">
        <f t="shared" si="14"/>
        <v/>
      </c>
      <c r="AJ26" s="6">
        <v>2.0</v>
      </c>
      <c r="AK26" s="7" t="str">
        <f t="shared" si="15"/>
        <v/>
      </c>
      <c r="AL26" s="6">
        <v>2.0</v>
      </c>
      <c r="AM26" s="7" t="str">
        <f t="shared" si="16"/>
        <v/>
      </c>
      <c r="AN26" s="6">
        <v>2.0</v>
      </c>
      <c r="AO26" s="7" t="str">
        <f t="shared" si="17"/>
        <v/>
      </c>
      <c r="AP26" s="6">
        <v>2.0</v>
      </c>
      <c r="AQ26" s="7" t="str">
        <f t="shared" si="18"/>
        <v/>
      </c>
      <c r="AR26" s="6">
        <v>2.0</v>
      </c>
      <c r="AS26" s="7" t="str">
        <f t="shared" si="19"/>
        <v/>
      </c>
      <c r="AT26" s="6">
        <v>2.0</v>
      </c>
      <c r="AU26" s="7" t="str">
        <f t="shared" si="20"/>
        <v/>
      </c>
      <c r="AV26" s="6">
        <v>2.0</v>
      </c>
      <c r="AW26" s="7" t="str">
        <f t="shared" si="21"/>
        <v/>
      </c>
    </row>
    <row r="27" ht="18.0" customHeight="1">
      <c r="A27" s="3">
        <v>25.0</v>
      </c>
      <c r="B27" s="3" t="s">
        <v>105</v>
      </c>
      <c r="C27" s="3" t="s">
        <v>76</v>
      </c>
      <c r="D27" s="1" t="s">
        <v>33</v>
      </c>
      <c r="E27" s="4" t="s">
        <v>40</v>
      </c>
      <c r="F27" s="4" t="s">
        <v>35</v>
      </c>
      <c r="G27" s="8"/>
      <c r="H27" s="6">
        <v>1.0</v>
      </c>
      <c r="I27" s="7" t="str">
        <f t="shared" si="1"/>
        <v/>
      </c>
      <c r="J27" s="6">
        <v>1.0</v>
      </c>
      <c r="K27" s="7" t="str">
        <f t="shared" si="2"/>
        <v/>
      </c>
      <c r="L27" s="6">
        <v>2.0</v>
      </c>
      <c r="M27" s="7" t="str">
        <f t="shared" si="3"/>
        <v/>
      </c>
      <c r="N27" s="6">
        <v>2.0</v>
      </c>
      <c r="O27" s="7" t="str">
        <f t="shared" si="4"/>
        <v/>
      </c>
      <c r="P27" s="6">
        <v>1.0</v>
      </c>
      <c r="Q27" s="7" t="str">
        <f t="shared" si="5"/>
        <v/>
      </c>
      <c r="R27" s="6" t="s">
        <v>36</v>
      </c>
      <c r="S27" s="7" t="str">
        <f t="shared" si="6"/>
        <v/>
      </c>
      <c r="T27" s="6" t="s">
        <v>36</v>
      </c>
      <c r="U27" s="7" t="str">
        <f t="shared" si="7"/>
        <v/>
      </c>
      <c r="V27" s="6">
        <v>1.0</v>
      </c>
      <c r="W27" s="7" t="str">
        <f t="shared" si="8"/>
        <v/>
      </c>
      <c r="X27" s="6">
        <v>1.0</v>
      </c>
      <c r="Y27" s="7" t="str">
        <f t="shared" si="9"/>
        <v/>
      </c>
      <c r="Z27" s="6">
        <v>2.0</v>
      </c>
      <c r="AA27" s="7" t="str">
        <f t="shared" si="10"/>
        <v/>
      </c>
      <c r="AB27" s="6" t="s">
        <v>36</v>
      </c>
      <c r="AC27" s="7" t="str">
        <f t="shared" si="11"/>
        <v/>
      </c>
      <c r="AD27" s="6" t="s">
        <v>36</v>
      </c>
      <c r="AE27" s="7" t="str">
        <f t="shared" si="12"/>
        <v/>
      </c>
      <c r="AF27" s="6">
        <v>2.0</v>
      </c>
      <c r="AG27" s="7" t="str">
        <f t="shared" si="13"/>
        <v/>
      </c>
      <c r="AH27" s="6">
        <v>1.0</v>
      </c>
      <c r="AI27" s="7" t="str">
        <f t="shared" si="14"/>
        <v/>
      </c>
      <c r="AJ27" s="6">
        <v>2.0</v>
      </c>
      <c r="AK27" s="7" t="str">
        <f t="shared" si="15"/>
        <v/>
      </c>
      <c r="AL27" s="6">
        <v>1.0</v>
      </c>
      <c r="AM27" s="7" t="str">
        <f t="shared" si="16"/>
        <v/>
      </c>
      <c r="AN27" s="6">
        <v>1.0</v>
      </c>
      <c r="AO27" s="7" t="str">
        <f t="shared" si="17"/>
        <v/>
      </c>
      <c r="AP27" s="6">
        <v>1.0</v>
      </c>
      <c r="AQ27" s="7" t="str">
        <f t="shared" si="18"/>
        <v/>
      </c>
      <c r="AR27" s="6">
        <v>1.0</v>
      </c>
      <c r="AS27" s="7" t="str">
        <f t="shared" si="19"/>
        <v/>
      </c>
      <c r="AT27" s="6">
        <v>1.0</v>
      </c>
      <c r="AU27" s="7" t="str">
        <f t="shared" si="20"/>
        <v/>
      </c>
      <c r="AV27" s="6">
        <v>1.0</v>
      </c>
      <c r="AW27" s="7" t="str">
        <f t="shared" si="21"/>
        <v/>
      </c>
    </row>
    <row r="28" ht="18.0" customHeight="1">
      <c r="A28" s="3">
        <v>26.0</v>
      </c>
      <c r="B28" s="3" t="s">
        <v>105</v>
      </c>
      <c r="C28" s="3" t="s">
        <v>32</v>
      </c>
      <c r="D28" s="1" t="s">
        <v>41</v>
      </c>
      <c r="E28" s="4" t="s">
        <v>51</v>
      </c>
      <c r="F28" s="4" t="s">
        <v>43</v>
      </c>
      <c r="G28" s="8"/>
      <c r="H28" s="6">
        <v>2.0</v>
      </c>
      <c r="I28" s="7" t="str">
        <f t="shared" si="1"/>
        <v/>
      </c>
      <c r="J28" s="6" t="s">
        <v>36</v>
      </c>
      <c r="K28" s="7" t="str">
        <f t="shared" si="2"/>
        <v/>
      </c>
      <c r="L28" s="6">
        <v>1.0</v>
      </c>
      <c r="M28" s="7" t="str">
        <f t="shared" si="3"/>
        <v/>
      </c>
      <c r="N28" s="6">
        <v>1.0</v>
      </c>
      <c r="O28" s="7" t="str">
        <f t="shared" si="4"/>
        <v/>
      </c>
      <c r="P28" s="6">
        <v>1.0</v>
      </c>
      <c r="Q28" s="7" t="str">
        <f t="shared" si="5"/>
        <v/>
      </c>
      <c r="R28" s="6" t="s">
        <v>36</v>
      </c>
      <c r="S28" s="7" t="str">
        <f t="shared" si="6"/>
        <v/>
      </c>
      <c r="T28" s="6">
        <v>1.0</v>
      </c>
      <c r="U28" s="7" t="str">
        <f t="shared" si="7"/>
        <v/>
      </c>
      <c r="V28" s="6" t="s">
        <v>36</v>
      </c>
      <c r="W28" s="7" t="str">
        <f t="shared" si="8"/>
        <v/>
      </c>
      <c r="X28" s="6">
        <v>1.0</v>
      </c>
      <c r="Y28" s="7" t="str">
        <f t="shared" si="9"/>
        <v/>
      </c>
      <c r="Z28" s="6">
        <v>1.0</v>
      </c>
      <c r="AA28" s="7" t="str">
        <f t="shared" si="10"/>
        <v/>
      </c>
      <c r="AB28" s="6">
        <v>1.0</v>
      </c>
      <c r="AC28" s="7" t="str">
        <f t="shared" si="11"/>
        <v/>
      </c>
      <c r="AD28" s="6" t="s">
        <v>36</v>
      </c>
      <c r="AE28" s="7" t="str">
        <f t="shared" si="12"/>
        <v/>
      </c>
      <c r="AF28" s="6">
        <v>1.0</v>
      </c>
      <c r="AG28" s="7" t="str">
        <f t="shared" si="13"/>
        <v/>
      </c>
      <c r="AH28" s="6">
        <v>1.0</v>
      </c>
      <c r="AI28" s="7" t="str">
        <f t="shared" si="14"/>
        <v/>
      </c>
      <c r="AJ28" s="6">
        <v>1.0</v>
      </c>
      <c r="AK28" s="7" t="str">
        <f t="shared" si="15"/>
        <v/>
      </c>
      <c r="AL28" s="6">
        <v>1.0</v>
      </c>
      <c r="AM28" s="7" t="str">
        <f t="shared" si="16"/>
        <v/>
      </c>
      <c r="AN28" s="6">
        <v>2.0</v>
      </c>
      <c r="AO28" s="7" t="str">
        <f t="shared" si="17"/>
        <v/>
      </c>
      <c r="AP28" s="6">
        <v>1.0</v>
      </c>
      <c r="AQ28" s="7" t="str">
        <f t="shared" si="18"/>
        <v/>
      </c>
      <c r="AR28" s="6">
        <v>1.0</v>
      </c>
      <c r="AS28" s="7" t="str">
        <f t="shared" si="19"/>
        <v/>
      </c>
      <c r="AT28" s="6">
        <v>2.0</v>
      </c>
      <c r="AU28" s="7" t="str">
        <f t="shared" si="20"/>
        <v/>
      </c>
      <c r="AV28" s="6" t="s">
        <v>36</v>
      </c>
      <c r="AW28" s="7" t="str">
        <f t="shared" si="21"/>
        <v/>
      </c>
    </row>
    <row r="29" ht="18.0" customHeight="1">
      <c r="A29" s="3">
        <v>27.0</v>
      </c>
      <c r="B29" s="3" t="s">
        <v>110</v>
      </c>
      <c r="C29" s="3" t="s">
        <v>53</v>
      </c>
      <c r="D29" s="1" t="s">
        <v>41</v>
      </c>
      <c r="E29" s="4" t="s">
        <v>42</v>
      </c>
      <c r="F29" s="4" t="s">
        <v>50</v>
      </c>
      <c r="G29" s="8"/>
      <c r="H29" s="6" t="s">
        <v>36</v>
      </c>
      <c r="I29" s="7" t="str">
        <f t="shared" si="1"/>
        <v/>
      </c>
      <c r="J29" s="6">
        <v>1.0</v>
      </c>
      <c r="K29" s="7" t="str">
        <f t="shared" si="2"/>
        <v/>
      </c>
      <c r="L29" s="6">
        <v>1.0</v>
      </c>
      <c r="M29" s="7" t="str">
        <f t="shared" si="3"/>
        <v/>
      </c>
      <c r="N29" s="6">
        <v>2.0</v>
      </c>
      <c r="O29" s="7" t="str">
        <f t="shared" si="4"/>
        <v/>
      </c>
      <c r="P29" s="6">
        <v>1.0</v>
      </c>
      <c r="Q29" s="7" t="str">
        <f t="shared" si="5"/>
        <v/>
      </c>
      <c r="R29" s="6">
        <v>1.0</v>
      </c>
      <c r="S29" s="7" t="str">
        <f t="shared" si="6"/>
        <v/>
      </c>
      <c r="T29" s="6">
        <v>1.0</v>
      </c>
      <c r="U29" s="7" t="str">
        <f t="shared" si="7"/>
        <v/>
      </c>
      <c r="V29" s="6">
        <v>1.0</v>
      </c>
      <c r="W29" s="7" t="str">
        <f t="shared" si="8"/>
        <v/>
      </c>
      <c r="X29" s="6">
        <v>1.0</v>
      </c>
      <c r="Y29" s="7" t="str">
        <f t="shared" si="9"/>
        <v/>
      </c>
      <c r="Z29" s="6" t="s">
        <v>36</v>
      </c>
      <c r="AA29" s="7" t="str">
        <f t="shared" si="10"/>
        <v/>
      </c>
      <c r="AB29" s="6">
        <v>1.0</v>
      </c>
      <c r="AC29" s="7" t="str">
        <f t="shared" si="11"/>
        <v/>
      </c>
      <c r="AD29" s="6" t="s">
        <v>36</v>
      </c>
      <c r="AE29" s="7" t="str">
        <f t="shared" si="12"/>
        <v/>
      </c>
      <c r="AF29" s="6">
        <v>1.0</v>
      </c>
      <c r="AG29" s="7" t="str">
        <f t="shared" si="13"/>
        <v/>
      </c>
      <c r="AH29" s="6">
        <v>1.0</v>
      </c>
      <c r="AI29" s="7" t="str">
        <f t="shared" si="14"/>
        <v/>
      </c>
      <c r="AJ29" s="6">
        <v>1.0</v>
      </c>
      <c r="AK29" s="7" t="str">
        <f t="shared" si="15"/>
        <v/>
      </c>
      <c r="AL29" s="6">
        <v>1.0</v>
      </c>
      <c r="AM29" s="7" t="str">
        <f t="shared" si="16"/>
        <v/>
      </c>
      <c r="AN29" s="6">
        <v>1.0</v>
      </c>
      <c r="AO29" s="7" t="str">
        <f t="shared" si="17"/>
        <v/>
      </c>
      <c r="AP29" s="6">
        <v>1.0</v>
      </c>
      <c r="AQ29" s="7" t="str">
        <f t="shared" si="18"/>
        <v/>
      </c>
      <c r="AR29" s="6">
        <v>1.0</v>
      </c>
      <c r="AS29" s="7" t="str">
        <f t="shared" si="19"/>
        <v/>
      </c>
      <c r="AT29" s="6">
        <v>1.0</v>
      </c>
      <c r="AU29" s="7" t="str">
        <f t="shared" si="20"/>
        <v/>
      </c>
      <c r="AV29" s="6" t="s">
        <v>36</v>
      </c>
      <c r="AW29" s="7" t="str">
        <f t="shared" si="21"/>
        <v/>
      </c>
    </row>
    <row r="30" ht="18.0" customHeight="1">
      <c r="A30" s="3">
        <v>28.0</v>
      </c>
      <c r="B30" s="3" t="s">
        <v>110</v>
      </c>
      <c r="C30" s="3" t="s">
        <v>45</v>
      </c>
      <c r="D30" s="1" t="s">
        <v>33</v>
      </c>
      <c r="E30" s="4" t="s">
        <v>34</v>
      </c>
      <c r="F30" s="4" t="s">
        <v>39</v>
      </c>
      <c r="G30" s="8"/>
      <c r="H30" s="6" t="s">
        <v>36</v>
      </c>
      <c r="I30" s="7" t="str">
        <f t="shared" si="1"/>
        <v/>
      </c>
      <c r="J30" s="6" t="s">
        <v>36</v>
      </c>
      <c r="K30" s="7" t="str">
        <f t="shared" si="2"/>
        <v/>
      </c>
      <c r="L30" s="6">
        <v>1.0</v>
      </c>
      <c r="M30" s="7" t="str">
        <f t="shared" si="3"/>
        <v/>
      </c>
      <c r="N30" s="6">
        <v>1.0</v>
      </c>
      <c r="O30" s="7" t="str">
        <f t="shared" si="4"/>
        <v/>
      </c>
      <c r="P30" s="6">
        <v>1.0</v>
      </c>
      <c r="Q30" s="7" t="str">
        <f t="shared" si="5"/>
        <v/>
      </c>
      <c r="R30" s="6">
        <v>2.0</v>
      </c>
      <c r="S30" s="7" t="str">
        <f t="shared" si="6"/>
        <v/>
      </c>
      <c r="T30" s="6">
        <v>1.0</v>
      </c>
      <c r="U30" s="7" t="str">
        <f t="shared" si="7"/>
        <v/>
      </c>
      <c r="V30" s="6" t="s">
        <v>36</v>
      </c>
      <c r="W30" s="7" t="str">
        <f t="shared" si="8"/>
        <v/>
      </c>
      <c r="X30" s="6">
        <v>1.0</v>
      </c>
      <c r="Y30" s="7" t="str">
        <f t="shared" si="9"/>
        <v/>
      </c>
      <c r="Z30" s="6">
        <v>1.0</v>
      </c>
      <c r="AA30" s="7" t="str">
        <f t="shared" si="10"/>
        <v/>
      </c>
      <c r="AB30" s="6" t="s">
        <v>36</v>
      </c>
      <c r="AC30" s="7" t="str">
        <f t="shared" si="11"/>
        <v/>
      </c>
      <c r="AD30" s="6">
        <v>1.0</v>
      </c>
      <c r="AE30" s="7" t="str">
        <f t="shared" si="12"/>
        <v/>
      </c>
      <c r="AF30" s="6" t="s">
        <v>49</v>
      </c>
      <c r="AG30" s="7" t="str">
        <f t="shared" si="13"/>
        <v/>
      </c>
      <c r="AH30" s="6">
        <v>1.0</v>
      </c>
      <c r="AI30" s="7" t="str">
        <f t="shared" si="14"/>
        <v/>
      </c>
      <c r="AJ30" s="6">
        <v>1.0</v>
      </c>
      <c r="AK30" s="7" t="str">
        <f t="shared" si="15"/>
        <v/>
      </c>
      <c r="AL30" s="6" t="s">
        <v>36</v>
      </c>
      <c r="AM30" s="7" t="str">
        <f t="shared" si="16"/>
        <v/>
      </c>
      <c r="AN30" s="6">
        <v>1.0</v>
      </c>
      <c r="AO30" s="7" t="str">
        <f t="shared" si="17"/>
        <v/>
      </c>
      <c r="AP30" s="6">
        <v>1.0</v>
      </c>
      <c r="AQ30" s="7" t="str">
        <f t="shared" si="18"/>
        <v/>
      </c>
      <c r="AR30" s="6">
        <v>1.0</v>
      </c>
      <c r="AS30" s="7" t="str">
        <f t="shared" si="19"/>
        <v/>
      </c>
      <c r="AT30" s="6">
        <v>1.0</v>
      </c>
      <c r="AU30" s="7" t="str">
        <f t="shared" si="20"/>
        <v/>
      </c>
      <c r="AV30" s="6">
        <v>1.0</v>
      </c>
      <c r="AW30" s="7" t="str">
        <f t="shared" si="21"/>
        <v/>
      </c>
    </row>
    <row r="31" ht="18.0" customHeight="1">
      <c r="A31" s="3">
        <v>29.0</v>
      </c>
      <c r="B31" s="3" t="s">
        <v>110</v>
      </c>
      <c r="C31" s="3" t="s">
        <v>32</v>
      </c>
      <c r="D31" s="1" t="s">
        <v>46</v>
      </c>
      <c r="E31" s="4" t="s">
        <v>47</v>
      </c>
      <c r="F31" s="4" t="s">
        <v>60</v>
      </c>
      <c r="G31" s="8"/>
      <c r="H31" s="6">
        <v>1.0</v>
      </c>
      <c r="I31" s="7" t="str">
        <f t="shared" si="1"/>
        <v/>
      </c>
      <c r="J31" s="6" t="s">
        <v>36</v>
      </c>
      <c r="K31" s="7" t="str">
        <f t="shared" si="2"/>
        <v/>
      </c>
      <c r="L31" s="6">
        <v>1.0</v>
      </c>
      <c r="M31" s="7" t="str">
        <f t="shared" si="3"/>
        <v/>
      </c>
      <c r="N31" s="6" t="s">
        <v>36</v>
      </c>
      <c r="O31" s="7" t="str">
        <f t="shared" si="4"/>
        <v/>
      </c>
      <c r="P31" s="6">
        <v>1.0</v>
      </c>
      <c r="Q31" s="7" t="str">
        <f t="shared" si="5"/>
        <v/>
      </c>
      <c r="R31" s="6">
        <v>1.0</v>
      </c>
      <c r="S31" s="7" t="str">
        <f t="shared" si="6"/>
        <v/>
      </c>
      <c r="T31" s="6">
        <v>1.0</v>
      </c>
      <c r="U31" s="7" t="str">
        <f t="shared" si="7"/>
        <v/>
      </c>
      <c r="V31" s="6">
        <v>1.0</v>
      </c>
      <c r="W31" s="7" t="str">
        <f t="shared" si="8"/>
        <v/>
      </c>
      <c r="X31" s="6">
        <v>1.0</v>
      </c>
      <c r="Y31" s="7" t="str">
        <f t="shared" si="9"/>
        <v/>
      </c>
      <c r="Z31" s="6" t="s">
        <v>36</v>
      </c>
      <c r="AA31" s="7" t="str">
        <f t="shared" si="10"/>
        <v/>
      </c>
      <c r="AB31" s="6">
        <v>2.0</v>
      </c>
      <c r="AC31" s="7" t="str">
        <f t="shared" si="11"/>
        <v/>
      </c>
      <c r="AD31" s="6">
        <v>1.0</v>
      </c>
      <c r="AE31" s="7" t="str">
        <f t="shared" si="12"/>
        <v/>
      </c>
      <c r="AF31" s="6">
        <v>2.0</v>
      </c>
      <c r="AG31" s="7" t="str">
        <f t="shared" si="13"/>
        <v/>
      </c>
      <c r="AH31" s="6">
        <v>1.0</v>
      </c>
      <c r="AI31" s="7" t="str">
        <f t="shared" si="14"/>
        <v/>
      </c>
      <c r="AJ31" s="6">
        <v>1.0</v>
      </c>
      <c r="AK31" s="7" t="str">
        <f t="shared" si="15"/>
        <v/>
      </c>
      <c r="AL31" s="6">
        <v>1.0</v>
      </c>
      <c r="AM31" s="7" t="str">
        <f t="shared" si="16"/>
        <v/>
      </c>
      <c r="AN31" s="6">
        <v>1.0</v>
      </c>
      <c r="AO31" s="7" t="str">
        <f t="shared" si="17"/>
        <v/>
      </c>
      <c r="AP31" s="6">
        <v>1.0</v>
      </c>
      <c r="AQ31" s="7" t="str">
        <f t="shared" si="18"/>
        <v/>
      </c>
      <c r="AR31" s="6">
        <v>1.0</v>
      </c>
      <c r="AS31" s="7" t="str">
        <f t="shared" si="19"/>
        <v/>
      </c>
      <c r="AT31" s="6">
        <v>1.0</v>
      </c>
      <c r="AU31" s="7" t="str">
        <f t="shared" si="20"/>
        <v/>
      </c>
      <c r="AV31" s="6">
        <v>1.0</v>
      </c>
      <c r="AW31" s="7" t="str">
        <f t="shared" si="21"/>
        <v/>
      </c>
    </row>
    <row r="32" ht="18.0" customHeight="1">
      <c r="A32" s="3">
        <v>30.0</v>
      </c>
      <c r="B32" s="3" t="s">
        <v>111</v>
      </c>
      <c r="C32" s="3" t="s">
        <v>53</v>
      </c>
      <c r="D32" s="1" t="s">
        <v>54</v>
      </c>
      <c r="E32" s="4" t="s">
        <v>58</v>
      </c>
      <c r="F32" s="4" t="s">
        <v>56</v>
      </c>
      <c r="G32" s="8"/>
      <c r="H32" s="6">
        <v>2.0</v>
      </c>
      <c r="I32" s="7" t="str">
        <f t="shared" si="1"/>
        <v/>
      </c>
      <c r="J32" s="6">
        <v>2.0</v>
      </c>
      <c r="K32" s="7" t="str">
        <f t="shared" si="2"/>
        <v/>
      </c>
      <c r="L32" s="6">
        <v>1.0</v>
      </c>
      <c r="M32" s="7" t="str">
        <f t="shared" si="3"/>
        <v/>
      </c>
      <c r="N32" s="6">
        <v>2.0</v>
      </c>
      <c r="O32" s="7" t="str">
        <f t="shared" si="4"/>
        <v/>
      </c>
      <c r="P32" s="6">
        <v>2.0</v>
      </c>
      <c r="Q32" s="7" t="str">
        <f t="shared" si="5"/>
        <v/>
      </c>
      <c r="R32" s="6" t="s">
        <v>36</v>
      </c>
      <c r="S32" s="7" t="str">
        <f t="shared" si="6"/>
        <v/>
      </c>
      <c r="T32" s="6">
        <v>2.0</v>
      </c>
      <c r="U32" s="7" t="str">
        <f t="shared" si="7"/>
        <v/>
      </c>
      <c r="V32" s="6">
        <v>2.0</v>
      </c>
      <c r="W32" s="7" t="str">
        <f t="shared" si="8"/>
        <v/>
      </c>
      <c r="X32" s="6">
        <v>1.0</v>
      </c>
      <c r="Y32" s="7" t="str">
        <f t="shared" si="9"/>
        <v/>
      </c>
      <c r="Z32" s="6" t="s">
        <v>36</v>
      </c>
      <c r="AA32" s="7" t="str">
        <f t="shared" si="10"/>
        <v/>
      </c>
      <c r="AB32" s="6">
        <v>2.0</v>
      </c>
      <c r="AC32" s="7" t="str">
        <f t="shared" si="11"/>
        <v/>
      </c>
      <c r="AD32" s="6">
        <v>2.0</v>
      </c>
      <c r="AE32" s="7" t="str">
        <f t="shared" si="12"/>
        <v/>
      </c>
      <c r="AF32" s="6">
        <v>2.0</v>
      </c>
      <c r="AG32" s="7" t="str">
        <f t="shared" si="13"/>
        <v/>
      </c>
      <c r="AH32" s="6">
        <v>2.0</v>
      </c>
      <c r="AI32" s="7" t="str">
        <f t="shared" si="14"/>
        <v/>
      </c>
      <c r="AJ32" s="6">
        <v>2.0</v>
      </c>
      <c r="AK32" s="7" t="str">
        <f t="shared" si="15"/>
        <v/>
      </c>
      <c r="AL32" s="6">
        <v>2.0</v>
      </c>
      <c r="AM32" s="7" t="str">
        <f t="shared" si="16"/>
        <v/>
      </c>
      <c r="AN32" s="6">
        <v>2.0</v>
      </c>
      <c r="AO32" s="7" t="str">
        <f t="shared" si="17"/>
        <v/>
      </c>
      <c r="AP32" s="6">
        <v>2.0</v>
      </c>
      <c r="AQ32" s="7" t="str">
        <f t="shared" si="18"/>
        <v/>
      </c>
      <c r="AR32" s="6">
        <v>1.0</v>
      </c>
      <c r="AS32" s="7" t="str">
        <f t="shared" si="19"/>
        <v/>
      </c>
      <c r="AT32" s="6">
        <v>2.0</v>
      </c>
      <c r="AU32" s="7" t="str">
        <f t="shared" si="20"/>
        <v/>
      </c>
      <c r="AV32" s="6">
        <v>2.0</v>
      </c>
      <c r="AW32" s="7" t="str">
        <f t="shared" si="21"/>
        <v/>
      </c>
    </row>
    <row r="33" ht="18.0" customHeight="1">
      <c r="A33" s="3">
        <v>31.0</v>
      </c>
      <c r="B33" s="3" t="s">
        <v>111</v>
      </c>
      <c r="C33" s="3" t="s">
        <v>112</v>
      </c>
      <c r="D33" s="1" t="s">
        <v>54</v>
      </c>
      <c r="E33" s="4" t="s">
        <v>55</v>
      </c>
      <c r="F33" s="4" t="s">
        <v>57</v>
      </c>
      <c r="G33" s="8"/>
      <c r="H33" s="6">
        <v>1.0</v>
      </c>
      <c r="I33" s="7" t="str">
        <f t="shared" si="1"/>
        <v/>
      </c>
      <c r="J33" s="6">
        <v>1.0</v>
      </c>
      <c r="K33" s="7" t="str">
        <f t="shared" si="2"/>
        <v/>
      </c>
      <c r="L33" s="6">
        <v>1.0</v>
      </c>
      <c r="M33" s="7" t="str">
        <f t="shared" si="3"/>
        <v/>
      </c>
      <c r="N33" s="6">
        <v>1.0</v>
      </c>
      <c r="O33" s="7" t="str">
        <f t="shared" si="4"/>
        <v/>
      </c>
      <c r="P33" s="6">
        <v>1.0</v>
      </c>
      <c r="Q33" s="7" t="str">
        <f t="shared" si="5"/>
        <v/>
      </c>
      <c r="R33" s="6">
        <v>1.0</v>
      </c>
      <c r="S33" s="7" t="str">
        <f t="shared" si="6"/>
        <v/>
      </c>
      <c r="T33" s="6">
        <v>1.0</v>
      </c>
      <c r="U33" s="7" t="str">
        <f t="shared" si="7"/>
        <v/>
      </c>
      <c r="V33" s="6">
        <v>1.0</v>
      </c>
      <c r="W33" s="7" t="str">
        <f t="shared" si="8"/>
        <v/>
      </c>
      <c r="X33" s="6">
        <v>1.0</v>
      </c>
      <c r="Y33" s="7" t="str">
        <f t="shared" si="9"/>
        <v/>
      </c>
      <c r="Z33" s="6">
        <v>1.0</v>
      </c>
      <c r="AA33" s="7" t="str">
        <f t="shared" si="10"/>
        <v/>
      </c>
      <c r="AB33" s="6">
        <v>1.0</v>
      </c>
      <c r="AC33" s="7" t="str">
        <f t="shared" si="11"/>
        <v/>
      </c>
      <c r="AD33" s="6">
        <v>1.0</v>
      </c>
      <c r="AE33" s="7" t="str">
        <f t="shared" si="12"/>
        <v/>
      </c>
      <c r="AF33" s="6">
        <v>1.0</v>
      </c>
      <c r="AG33" s="7" t="str">
        <f t="shared" si="13"/>
        <v/>
      </c>
      <c r="AH33" s="6">
        <v>1.0</v>
      </c>
      <c r="AI33" s="7" t="str">
        <f t="shared" si="14"/>
        <v/>
      </c>
      <c r="AJ33" s="6">
        <v>1.0</v>
      </c>
      <c r="AK33" s="7" t="str">
        <f t="shared" si="15"/>
        <v/>
      </c>
      <c r="AL33" s="6">
        <v>1.0</v>
      </c>
      <c r="AM33" s="7" t="str">
        <f t="shared" si="16"/>
        <v/>
      </c>
      <c r="AN33" s="6">
        <v>1.0</v>
      </c>
      <c r="AO33" s="7" t="str">
        <f t="shared" si="17"/>
        <v/>
      </c>
      <c r="AP33" s="6">
        <v>1.0</v>
      </c>
      <c r="AQ33" s="7" t="str">
        <f t="shared" si="18"/>
        <v/>
      </c>
      <c r="AR33" s="6">
        <v>1.0</v>
      </c>
      <c r="AS33" s="7" t="str">
        <f t="shared" si="19"/>
        <v/>
      </c>
      <c r="AT33" s="6">
        <v>1.0</v>
      </c>
      <c r="AU33" s="7" t="str">
        <f t="shared" si="20"/>
        <v/>
      </c>
      <c r="AV33" s="6">
        <v>1.0</v>
      </c>
      <c r="AW33" s="7" t="str">
        <f t="shared" si="21"/>
        <v/>
      </c>
    </row>
    <row r="34" ht="18.0" customHeight="1">
      <c r="A34" s="3">
        <v>32.0</v>
      </c>
      <c r="B34" s="3" t="s">
        <v>111</v>
      </c>
      <c r="C34" s="3" t="s">
        <v>113</v>
      </c>
      <c r="D34" s="1" t="s">
        <v>46</v>
      </c>
      <c r="E34" s="4" t="s">
        <v>61</v>
      </c>
      <c r="F34" s="4" t="s">
        <v>48</v>
      </c>
      <c r="G34" s="8"/>
      <c r="H34" s="6">
        <v>1.0</v>
      </c>
      <c r="I34" s="7" t="str">
        <f t="shared" si="1"/>
        <v/>
      </c>
      <c r="J34" s="6">
        <v>1.0</v>
      </c>
      <c r="K34" s="7" t="str">
        <f t="shared" si="2"/>
        <v/>
      </c>
      <c r="L34" s="6">
        <v>2.0</v>
      </c>
      <c r="M34" s="7" t="str">
        <f t="shared" si="3"/>
        <v/>
      </c>
      <c r="N34" s="6">
        <v>1.0</v>
      </c>
      <c r="O34" s="7" t="str">
        <f t="shared" si="4"/>
        <v/>
      </c>
      <c r="P34" s="6" t="s">
        <v>36</v>
      </c>
      <c r="Q34" s="7" t="str">
        <f t="shared" si="5"/>
        <v/>
      </c>
      <c r="R34" s="6">
        <v>1.0</v>
      </c>
      <c r="S34" s="7" t="str">
        <f t="shared" si="6"/>
        <v/>
      </c>
      <c r="T34" s="6">
        <v>1.0</v>
      </c>
      <c r="U34" s="7" t="str">
        <f t="shared" si="7"/>
        <v/>
      </c>
      <c r="V34" s="6">
        <v>1.0</v>
      </c>
      <c r="W34" s="7" t="str">
        <f t="shared" si="8"/>
        <v/>
      </c>
      <c r="X34" s="6">
        <v>1.0</v>
      </c>
      <c r="Y34" s="7" t="str">
        <f t="shared" si="9"/>
        <v/>
      </c>
      <c r="Z34" s="6" t="s">
        <v>36</v>
      </c>
      <c r="AA34" s="7" t="str">
        <f t="shared" si="10"/>
        <v/>
      </c>
      <c r="AB34" s="6">
        <v>1.0</v>
      </c>
      <c r="AC34" s="7" t="str">
        <f t="shared" si="11"/>
        <v/>
      </c>
      <c r="AD34" s="6">
        <v>2.0</v>
      </c>
      <c r="AE34" s="7" t="str">
        <f t="shared" si="12"/>
        <v/>
      </c>
      <c r="AF34" s="6">
        <v>1.0</v>
      </c>
      <c r="AG34" s="7" t="str">
        <f t="shared" si="13"/>
        <v/>
      </c>
      <c r="AH34" s="6" t="s">
        <v>36</v>
      </c>
      <c r="AI34" s="7" t="str">
        <f t="shared" si="14"/>
        <v/>
      </c>
      <c r="AJ34" s="6" t="s">
        <v>36</v>
      </c>
      <c r="AK34" s="7" t="str">
        <f t="shared" si="15"/>
        <v/>
      </c>
      <c r="AL34" s="6">
        <v>1.0</v>
      </c>
      <c r="AM34" s="7" t="str">
        <f t="shared" si="16"/>
        <v/>
      </c>
      <c r="AN34" s="6">
        <v>1.0</v>
      </c>
      <c r="AO34" s="7" t="str">
        <f t="shared" si="17"/>
        <v/>
      </c>
      <c r="AP34" s="6">
        <v>1.0</v>
      </c>
      <c r="AQ34" s="7" t="str">
        <f t="shared" si="18"/>
        <v/>
      </c>
      <c r="AR34" s="6">
        <v>2.0</v>
      </c>
      <c r="AS34" s="7" t="str">
        <f t="shared" si="19"/>
        <v/>
      </c>
      <c r="AT34" s="6">
        <v>2.0</v>
      </c>
      <c r="AU34" s="7" t="str">
        <f t="shared" si="20"/>
        <v/>
      </c>
      <c r="AV34" s="6">
        <v>2.0</v>
      </c>
      <c r="AW34" s="7" t="str">
        <f t="shared" si="21"/>
        <v/>
      </c>
    </row>
    <row r="35" ht="18.0" customHeight="1">
      <c r="A35" s="3">
        <v>33.0</v>
      </c>
      <c r="B35" s="3" t="s">
        <v>111</v>
      </c>
      <c r="C35" s="3" t="s">
        <v>62</v>
      </c>
      <c r="D35" s="1" t="s">
        <v>67</v>
      </c>
      <c r="E35" s="4" t="s">
        <v>68</v>
      </c>
      <c r="F35" s="4" t="s">
        <v>74</v>
      </c>
      <c r="G35" s="8"/>
      <c r="H35" s="6">
        <v>1.0</v>
      </c>
      <c r="I35" s="7" t="str">
        <f t="shared" si="1"/>
        <v/>
      </c>
      <c r="J35" s="6">
        <v>1.0</v>
      </c>
      <c r="K35" s="7" t="str">
        <f t="shared" si="2"/>
        <v/>
      </c>
      <c r="L35" s="6" t="s">
        <v>36</v>
      </c>
      <c r="M35" s="7" t="str">
        <f t="shared" si="3"/>
        <v/>
      </c>
      <c r="N35" s="6">
        <v>2.0</v>
      </c>
      <c r="O35" s="7" t="str">
        <f t="shared" si="4"/>
        <v/>
      </c>
      <c r="P35" s="6">
        <v>1.0</v>
      </c>
      <c r="Q35" s="7" t="str">
        <f t="shared" si="5"/>
        <v/>
      </c>
      <c r="R35" s="6">
        <v>1.0</v>
      </c>
      <c r="S35" s="7" t="str">
        <f t="shared" si="6"/>
        <v/>
      </c>
      <c r="T35" s="6" t="s">
        <v>36</v>
      </c>
      <c r="U35" s="7" t="str">
        <f t="shared" si="7"/>
        <v/>
      </c>
      <c r="V35" s="6" t="s">
        <v>36</v>
      </c>
      <c r="W35" s="7" t="str">
        <f t="shared" si="8"/>
        <v/>
      </c>
      <c r="X35" s="6">
        <v>1.0</v>
      </c>
      <c r="Y35" s="7" t="str">
        <f t="shared" si="9"/>
        <v/>
      </c>
      <c r="Z35" s="6" t="s">
        <v>36</v>
      </c>
      <c r="AA35" s="7" t="str">
        <f t="shared" si="10"/>
        <v/>
      </c>
      <c r="AB35" s="6">
        <v>1.0</v>
      </c>
      <c r="AC35" s="7" t="str">
        <f t="shared" si="11"/>
        <v/>
      </c>
      <c r="AD35" s="6">
        <v>1.0</v>
      </c>
      <c r="AE35" s="7" t="str">
        <f t="shared" si="12"/>
        <v/>
      </c>
      <c r="AF35" s="6">
        <v>1.0</v>
      </c>
      <c r="AG35" s="7" t="str">
        <f t="shared" si="13"/>
        <v/>
      </c>
      <c r="AH35" s="6">
        <v>1.0</v>
      </c>
      <c r="AI35" s="7" t="str">
        <f t="shared" si="14"/>
        <v/>
      </c>
      <c r="AJ35" s="6" t="s">
        <v>36</v>
      </c>
      <c r="AK35" s="7" t="str">
        <f t="shared" si="15"/>
        <v/>
      </c>
      <c r="AL35" s="6" t="s">
        <v>36</v>
      </c>
      <c r="AM35" s="7" t="str">
        <f t="shared" si="16"/>
        <v/>
      </c>
      <c r="AN35" s="6">
        <v>1.0</v>
      </c>
      <c r="AO35" s="7" t="str">
        <f t="shared" si="17"/>
        <v/>
      </c>
      <c r="AP35" s="6">
        <v>1.0</v>
      </c>
      <c r="AQ35" s="7" t="str">
        <f t="shared" si="18"/>
        <v/>
      </c>
      <c r="AR35" s="6">
        <v>2.0</v>
      </c>
      <c r="AS35" s="7" t="str">
        <f t="shared" si="19"/>
        <v/>
      </c>
      <c r="AT35" s="6">
        <v>1.0</v>
      </c>
      <c r="AU35" s="7" t="str">
        <f t="shared" si="20"/>
        <v/>
      </c>
      <c r="AV35" s="6">
        <v>1.0</v>
      </c>
      <c r="AW35" s="7" t="str">
        <f t="shared" si="21"/>
        <v/>
      </c>
    </row>
    <row r="36" ht="18.0" customHeight="1">
      <c r="A36" s="3">
        <v>34.0</v>
      </c>
      <c r="B36" s="3" t="s">
        <v>111</v>
      </c>
      <c r="C36" s="3" t="s">
        <v>66</v>
      </c>
      <c r="D36" s="1" t="s">
        <v>63</v>
      </c>
      <c r="E36" s="4" t="s">
        <v>64</v>
      </c>
      <c r="F36" s="4" t="s">
        <v>72</v>
      </c>
      <c r="G36" s="8"/>
      <c r="H36" s="6">
        <v>1.0</v>
      </c>
      <c r="I36" s="7" t="str">
        <f t="shared" si="1"/>
        <v/>
      </c>
      <c r="J36" s="6">
        <v>1.0</v>
      </c>
      <c r="K36" s="7" t="str">
        <f t="shared" si="2"/>
        <v/>
      </c>
      <c r="L36" s="6">
        <v>1.0</v>
      </c>
      <c r="M36" s="7" t="str">
        <f t="shared" si="3"/>
        <v/>
      </c>
      <c r="N36" s="6">
        <v>1.0</v>
      </c>
      <c r="O36" s="7" t="str">
        <f t="shared" si="4"/>
        <v/>
      </c>
      <c r="P36" s="6">
        <v>1.0</v>
      </c>
      <c r="Q36" s="7" t="str">
        <f t="shared" si="5"/>
        <v/>
      </c>
      <c r="R36" s="6">
        <v>1.0</v>
      </c>
      <c r="S36" s="7" t="str">
        <f t="shared" si="6"/>
        <v/>
      </c>
      <c r="T36" s="6">
        <v>1.0</v>
      </c>
      <c r="U36" s="7" t="str">
        <f t="shared" si="7"/>
        <v/>
      </c>
      <c r="V36" s="6">
        <v>1.0</v>
      </c>
      <c r="W36" s="7" t="str">
        <f t="shared" si="8"/>
        <v/>
      </c>
      <c r="X36" s="6">
        <v>1.0</v>
      </c>
      <c r="Y36" s="7" t="str">
        <f t="shared" si="9"/>
        <v/>
      </c>
      <c r="Z36" s="6">
        <v>1.0</v>
      </c>
      <c r="AA36" s="7" t="str">
        <f t="shared" si="10"/>
        <v/>
      </c>
      <c r="AB36" s="6">
        <v>1.0</v>
      </c>
      <c r="AC36" s="7" t="str">
        <f t="shared" si="11"/>
        <v/>
      </c>
      <c r="AD36" s="6">
        <v>1.0</v>
      </c>
      <c r="AE36" s="7" t="str">
        <f t="shared" si="12"/>
        <v/>
      </c>
      <c r="AF36" s="6">
        <v>1.0</v>
      </c>
      <c r="AG36" s="7" t="str">
        <f t="shared" si="13"/>
        <v/>
      </c>
      <c r="AH36" s="6">
        <v>1.0</v>
      </c>
      <c r="AI36" s="7" t="str">
        <f t="shared" si="14"/>
        <v/>
      </c>
      <c r="AJ36" s="6" t="s">
        <v>36</v>
      </c>
      <c r="AK36" s="7" t="str">
        <f t="shared" si="15"/>
        <v/>
      </c>
      <c r="AL36" s="6">
        <v>1.0</v>
      </c>
      <c r="AM36" s="7" t="str">
        <f t="shared" si="16"/>
        <v/>
      </c>
      <c r="AN36" s="6">
        <v>2.0</v>
      </c>
      <c r="AO36" s="7" t="str">
        <f t="shared" si="17"/>
        <v/>
      </c>
      <c r="AP36" s="6">
        <v>1.0</v>
      </c>
      <c r="AQ36" s="7" t="str">
        <f t="shared" si="18"/>
        <v/>
      </c>
      <c r="AR36" s="6">
        <v>1.0</v>
      </c>
      <c r="AS36" s="7" t="str">
        <f t="shared" si="19"/>
        <v/>
      </c>
      <c r="AT36" s="6">
        <v>1.0</v>
      </c>
      <c r="AU36" s="7" t="str">
        <f t="shared" si="20"/>
        <v/>
      </c>
      <c r="AV36" s="6">
        <v>1.0</v>
      </c>
      <c r="AW36" s="7" t="str">
        <f t="shared" si="21"/>
        <v/>
      </c>
    </row>
    <row r="37" ht="18.0" customHeight="1">
      <c r="A37" s="3">
        <v>35.0</v>
      </c>
      <c r="B37" s="3" t="s">
        <v>114</v>
      </c>
      <c r="C37" s="3" t="s">
        <v>115</v>
      </c>
      <c r="D37" s="1" t="s">
        <v>63</v>
      </c>
      <c r="E37" s="4" t="s">
        <v>73</v>
      </c>
      <c r="F37" s="4" t="s">
        <v>65</v>
      </c>
      <c r="G37" s="8"/>
      <c r="H37" s="6" t="s">
        <v>36</v>
      </c>
      <c r="I37" s="7" t="str">
        <f t="shared" si="1"/>
        <v/>
      </c>
      <c r="J37" s="6">
        <v>1.0</v>
      </c>
      <c r="K37" s="7" t="str">
        <f t="shared" si="2"/>
        <v/>
      </c>
      <c r="L37" s="6" t="s">
        <v>36</v>
      </c>
      <c r="M37" s="7" t="str">
        <f t="shared" si="3"/>
        <v/>
      </c>
      <c r="N37" s="6">
        <v>1.0</v>
      </c>
      <c r="O37" s="7" t="str">
        <f t="shared" si="4"/>
        <v/>
      </c>
      <c r="P37" s="6">
        <v>1.0</v>
      </c>
      <c r="Q37" s="7" t="str">
        <f t="shared" si="5"/>
        <v/>
      </c>
      <c r="R37" s="6">
        <v>1.0</v>
      </c>
      <c r="S37" s="7" t="str">
        <f t="shared" si="6"/>
        <v/>
      </c>
      <c r="T37" s="6">
        <v>1.0</v>
      </c>
      <c r="U37" s="7" t="str">
        <f t="shared" si="7"/>
        <v/>
      </c>
      <c r="V37" s="6">
        <v>1.0</v>
      </c>
      <c r="W37" s="7" t="str">
        <f t="shared" si="8"/>
        <v/>
      </c>
      <c r="X37" s="6">
        <v>1.0</v>
      </c>
      <c r="Y37" s="7" t="str">
        <f t="shared" si="9"/>
        <v/>
      </c>
      <c r="Z37" s="6" t="s">
        <v>36</v>
      </c>
      <c r="AA37" s="7" t="str">
        <f t="shared" si="10"/>
        <v/>
      </c>
      <c r="AB37" s="6">
        <v>2.0</v>
      </c>
      <c r="AC37" s="7" t="str">
        <f t="shared" si="11"/>
        <v/>
      </c>
      <c r="AD37" s="6" t="s">
        <v>36</v>
      </c>
      <c r="AE37" s="7" t="str">
        <f t="shared" si="12"/>
        <v/>
      </c>
      <c r="AF37" s="6" t="s">
        <v>49</v>
      </c>
      <c r="AG37" s="7" t="str">
        <f t="shared" si="13"/>
        <v/>
      </c>
      <c r="AH37" s="6">
        <v>1.0</v>
      </c>
      <c r="AI37" s="7" t="str">
        <f t="shared" si="14"/>
        <v/>
      </c>
      <c r="AJ37" s="6">
        <v>1.0</v>
      </c>
      <c r="AK37" s="7" t="str">
        <f t="shared" si="15"/>
        <v/>
      </c>
      <c r="AL37" s="6" t="s">
        <v>36</v>
      </c>
      <c r="AM37" s="7" t="str">
        <f t="shared" si="16"/>
        <v/>
      </c>
      <c r="AN37" s="6">
        <v>1.0</v>
      </c>
      <c r="AO37" s="7" t="str">
        <f t="shared" si="17"/>
        <v/>
      </c>
      <c r="AP37" s="6">
        <v>1.0</v>
      </c>
      <c r="AQ37" s="7" t="str">
        <f t="shared" si="18"/>
        <v/>
      </c>
      <c r="AR37" s="6">
        <v>1.0</v>
      </c>
      <c r="AS37" s="7" t="str">
        <f t="shared" si="19"/>
        <v/>
      </c>
      <c r="AT37" s="6">
        <v>1.0</v>
      </c>
      <c r="AU37" s="7" t="str">
        <f t="shared" si="20"/>
        <v/>
      </c>
      <c r="AV37" s="6">
        <v>1.0</v>
      </c>
      <c r="AW37" s="7" t="str">
        <f t="shared" si="21"/>
        <v/>
      </c>
    </row>
    <row r="38" ht="18.0" customHeight="1">
      <c r="A38" s="3">
        <v>36.0</v>
      </c>
      <c r="B38" s="3" t="s">
        <v>114</v>
      </c>
      <c r="C38" s="3" t="s">
        <v>59</v>
      </c>
      <c r="D38" s="1" t="s">
        <v>67</v>
      </c>
      <c r="E38" s="4" t="s">
        <v>75</v>
      </c>
      <c r="F38" s="4" t="s">
        <v>69</v>
      </c>
      <c r="G38" s="8"/>
      <c r="H38" s="6">
        <v>2.0</v>
      </c>
      <c r="I38" s="7" t="str">
        <f t="shared" si="1"/>
        <v/>
      </c>
      <c r="J38" s="6">
        <v>2.0</v>
      </c>
      <c r="K38" s="7" t="str">
        <f t="shared" si="2"/>
        <v/>
      </c>
      <c r="L38" s="6">
        <v>2.0</v>
      </c>
      <c r="M38" s="7" t="str">
        <f t="shared" si="3"/>
        <v/>
      </c>
      <c r="N38" s="6" t="s">
        <v>36</v>
      </c>
      <c r="O38" s="7" t="str">
        <f t="shared" si="4"/>
        <v/>
      </c>
      <c r="P38" s="6">
        <v>2.0</v>
      </c>
      <c r="Q38" s="7" t="str">
        <f t="shared" si="5"/>
        <v/>
      </c>
      <c r="R38" s="6">
        <v>2.0</v>
      </c>
      <c r="S38" s="7" t="str">
        <f t="shared" si="6"/>
        <v/>
      </c>
      <c r="T38" s="6">
        <v>2.0</v>
      </c>
      <c r="U38" s="7" t="str">
        <f t="shared" si="7"/>
        <v/>
      </c>
      <c r="V38" s="6" t="s">
        <v>36</v>
      </c>
      <c r="W38" s="7" t="str">
        <f t="shared" si="8"/>
        <v/>
      </c>
      <c r="X38" s="6">
        <v>2.0</v>
      </c>
      <c r="Y38" s="7" t="str">
        <f t="shared" si="9"/>
        <v/>
      </c>
      <c r="Z38" s="6">
        <v>2.0</v>
      </c>
      <c r="AA38" s="7" t="str">
        <f t="shared" si="10"/>
        <v/>
      </c>
      <c r="AB38" s="6">
        <v>2.0</v>
      </c>
      <c r="AC38" s="7" t="str">
        <f t="shared" si="11"/>
        <v/>
      </c>
      <c r="AD38" s="6" t="s">
        <v>36</v>
      </c>
      <c r="AE38" s="7" t="str">
        <f t="shared" si="12"/>
        <v/>
      </c>
      <c r="AF38" s="6">
        <v>2.0</v>
      </c>
      <c r="AG38" s="7" t="str">
        <f t="shared" si="13"/>
        <v/>
      </c>
      <c r="AH38" s="6">
        <v>2.0</v>
      </c>
      <c r="AI38" s="7" t="str">
        <f t="shared" si="14"/>
        <v/>
      </c>
      <c r="AJ38" s="6">
        <v>2.0</v>
      </c>
      <c r="AK38" s="7" t="str">
        <f t="shared" si="15"/>
        <v/>
      </c>
      <c r="AL38" s="6">
        <v>2.0</v>
      </c>
      <c r="AM38" s="7" t="str">
        <f t="shared" si="16"/>
        <v/>
      </c>
      <c r="AN38" s="6" t="s">
        <v>36</v>
      </c>
      <c r="AO38" s="7" t="str">
        <f t="shared" si="17"/>
        <v/>
      </c>
      <c r="AP38" s="6">
        <v>2.0</v>
      </c>
      <c r="AQ38" s="7" t="str">
        <f t="shared" si="18"/>
        <v/>
      </c>
      <c r="AR38" s="6">
        <v>2.0</v>
      </c>
      <c r="AS38" s="7" t="str">
        <f t="shared" si="19"/>
        <v/>
      </c>
      <c r="AT38" s="6">
        <v>1.0</v>
      </c>
      <c r="AU38" s="7" t="str">
        <f t="shared" si="20"/>
        <v/>
      </c>
      <c r="AV38" s="6">
        <v>1.0</v>
      </c>
      <c r="AW38" s="7" t="str">
        <f t="shared" si="21"/>
        <v/>
      </c>
    </row>
    <row r="39" ht="18.0" customHeight="1">
      <c r="A39" s="3">
        <v>37.0</v>
      </c>
      <c r="B39" s="3" t="s">
        <v>114</v>
      </c>
      <c r="C39" s="3" t="s">
        <v>76</v>
      </c>
      <c r="D39" s="1" t="s">
        <v>77</v>
      </c>
      <c r="E39" s="4" t="s">
        <v>78</v>
      </c>
      <c r="F39" s="4" t="s">
        <v>84</v>
      </c>
      <c r="G39" s="8"/>
      <c r="H39" s="6">
        <v>1.0</v>
      </c>
      <c r="I39" s="7" t="str">
        <f t="shared" si="1"/>
        <v/>
      </c>
      <c r="J39" s="6">
        <v>1.0</v>
      </c>
      <c r="K39" s="7" t="str">
        <f t="shared" si="2"/>
        <v/>
      </c>
      <c r="L39" s="6">
        <v>1.0</v>
      </c>
      <c r="M39" s="7" t="str">
        <f t="shared" si="3"/>
        <v/>
      </c>
      <c r="N39" s="6">
        <v>1.0</v>
      </c>
      <c r="O39" s="7" t="str">
        <f t="shared" si="4"/>
        <v/>
      </c>
      <c r="P39" s="6">
        <v>1.0</v>
      </c>
      <c r="Q39" s="7" t="str">
        <f t="shared" si="5"/>
        <v/>
      </c>
      <c r="R39" s="6">
        <v>1.0</v>
      </c>
      <c r="S39" s="7" t="str">
        <f t="shared" si="6"/>
        <v/>
      </c>
      <c r="T39" s="6">
        <v>1.0</v>
      </c>
      <c r="U39" s="7" t="str">
        <f t="shared" si="7"/>
        <v/>
      </c>
      <c r="V39" s="6">
        <v>1.0</v>
      </c>
      <c r="W39" s="7" t="str">
        <f t="shared" si="8"/>
        <v/>
      </c>
      <c r="X39" s="6">
        <v>1.0</v>
      </c>
      <c r="Y39" s="7" t="str">
        <f t="shared" si="9"/>
        <v/>
      </c>
      <c r="Z39" s="6">
        <v>1.0</v>
      </c>
      <c r="AA39" s="7" t="str">
        <f t="shared" si="10"/>
        <v/>
      </c>
      <c r="AB39" s="6">
        <v>1.0</v>
      </c>
      <c r="AC39" s="7" t="str">
        <f t="shared" si="11"/>
        <v/>
      </c>
      <c r="AD39" s="6">
        <v>1.0</v>
      </c>
      <c r="AE39" s="7" t="str">
        <f t="shared" si="12"/>
        <v/>
      </c>
      <c r="AF39" s="6">
        <v>1.0</v>
      </c>
      <c r="AG39" s="7" t="str">
        <f t="shared" si="13"/>
        <v/>
      </c>
      <c r="AH39" s="6">
        <v>1.0</v>
      </c>
      <c r="AI39" s="7" t="str">
        <f t="shared" si="14"/>
        <v/>
      </c>
      <c r="AJ39" s="6">
        <v>1.0</v>
      </c>
      <c r="AK39" s="7" t="str">
        <f t="shared" si="15"/>
        <v/>
      </c>
      <c r="AL39" s="6">
        <v>1.0</v>
      </c>
      <c r="AM39" s="7" t="str">
        <f t="shared" si="16"/>
        <v/>
      </c>
      <c r="AN39" s="6">
        <v>1.0</v>
      </c>
      <c r="AO39" s="7" t="str">
        <f t="shared" si="17"/>
        <v/>
      </c>
      <c r="AP39" s="6">
        <v>1.0</v>
      </c>
      <c r="AQ39" s="7" t="str">
        <f t="shared" si="18"/>
        <v/>
      </c>
      <c r="AR39" s="6">
        <v>1.0</v>
      </c>
      <c r="AS39" s="7" t="str">
        <f t="shared" si="19"/>
        <v/>
      </c>
      <c r="AT39" s="6">
        <v>1.0</v>
      </c>
      <c r="AU39" s="7" t="str">
        <f t="shared" si="20"/>
        <v/>
      </c>
      <c r="AV39" s="6">
        <v>1.0</v>
      </c>
      <c r="AW39" s="7" t="str">
        <f t="shared" si="21"/>
        <v/>
      </c>
    </row>
    <row r="40" ht="18.0" customHeight="1">
      <c r="A40" s="3">
        <v>38.0</v>
      </c>
      <c r="B40" s="3" t="s">
        <v>114</v>
      </c>
      <c r="C40" s="3" t="s">
        <v>32</v>
      </c>
      <c r="D40" s="1" t="s">
        <v>80</v>
      </c>
      <c r="E40" s="4" t="s">
        <v>81</v>
      </c>
      <c r="F40" s="4" t="s">
        <v>86</v>
      </c>
      <c r="G40" s="8"/>
      <c r="H40" s="6">
        <v>1.0</v>
      </c>
      <c r="I40" s="7" t="str">
        <f t="shared" si="1"/>
        <v/>
      </c>
      <c r="J40" s="6">
        <v>1.0</v>
      </c>
      <c r="K40" s="7" t="str">
        <f t="shared" si="2"/>
        <v/>
      </c>
      <c r="L40" s="6">
        <v>1.0</v>
      </c>
      <c r="M40" s="7" t="str">
        <f t="shared" si="3"/>
        <v/>
      </c>
      <c r="N40" s="6">
        <v>1.0</v>
      </c>
      <c r="O40" s="7" t="str">
        <f t="shared" si="4"/>
        <v/>
      </c>
      <c r="P40" s="6">
        <v>1.0</v>
      </c>
      <c r="Q40" s="7" t="str">
        <f t="shared" si="5"/>
        <v/>
      </c>
      <c r="R40" s="6">
        <v>1.0</v>
      </c>
      <c r="S40" s="7" t="str">
        <f t="shared" si="6"/>
        <v/>
      </c>
      <c r="T40" s="6">
        <v>1.0</v>
      </c>
      <c r="U40" s="7" t="str">
        <f t="shared" si="7"/>
        <v/>
      </c>
      <c r="V40" s="6">
        <v>1.0</v>
      </c>
      <c r="W40" s="7" t="str">
        <f t="shared" si="8"/>
        <v/>
      </c>
      <c r="X40" s="6">
        <v>1.0</v>
      </c>
      <c r="Y40" s="7" t="str">
        <f t="shared" si="9"/>
        <v/>
      </c>
      <c r="Z40" s="6">
        <v>1.0</v>
      </c>
      <c r="AA40" s="7" t="str">
        <f t="shared" si="10"/>
        <v/>
      </c>
      <c r="AB40" s="6">
        <v>1.0</v>
      </c>
      <c r="AC40" s="7" t="str">
        <f t="shared" si="11"/>
        <v/>
      </c>
      <c r="AD40" s="6" t="s">
        <v>36</v>
      </c>
      <c r="AE40" s="7" t="str">
        <f t="shared" si="12"/>
        <v/>
      </c>
      <c r="AF40" s="6">
        <v>1.0</v>
      </c>
      <c r="AG40" s="7" t="str">
        <f t="shared" si="13"/>
        <v/>
      </c>
      <c r="AH40" s="6">
        <v>1.0</v>
      </c>
      <c r="AI40" s="7" t="str">
        <f t="shared" si="14"/>
        <v/>
      </c>
      <c r="AJ40" s="6">
        <v>1.0</v>
      </c>
      <c r="AK40" s="7" t="str">
        <f t="shared" si="15"/>
        <v/>
      </c>
      <c r="AL40" s="6">
        <v>1.0</v>
      </c>
      <c r="AM40" s="7" t="str">
        <f t="shared" si="16"/>
        <v/>
      </c>
      <c r="AN40" s="6">
        <v>1.0</v>
      </c>
      <c r="AO40" s="7" t="str">
        <f t="shared" si="17"/>
        <v/>
      </c>
      <c r="AP40" s="6">
        <v>1.0</v>
      </c>
      <c r="AQ40" s="7" t="str">
        <f t="shared" si="18"/>
        <v/>
      </c>
      <c r="AR40" s="6">
        <v>1.0</v>
      </c>
      <c r="AS40" s="7" t="str">
        <f t="shared" si="19"/>
        <v/>
      </c>
      <c r="AT40" s="6">
        <v>1.0</v>
      </c>
      <c r="AU40" s="7" t="str">
        <f t="shared" si="20"/>
        <v/>
      </c>
      <c r="AV40" s="6">
        <v>1.0</v>
      </c>
      <c r="AW40" s="7" t="str">
        <f t="shared" si="21"/>
        <v/>
      </c>
    </row>
    <row r="41" ht="18.0" customHeight="1">
      <c r="A41" s="3">
        <v>39.0</v>
      </c>
      <c r="B41" s="3" t="s">
        <v>116</v>
      </c>
      <c r="C41" s="3" t="s">
        <v>53</v>
      </c>
      <c r="D41" s="1" t="s">
        <v>77</v>
      </c>
      <c r="E41" s="4" t="s">
        <v>85</v>
      </c>
      <c r="F41" s="4" t="s">
        <v>79</v>
      </c>
      <c r="G41" s="8"/>
      <c r="H41" s="6">
        <v>1.0</v>
      </c>
      <c r="I41" s="7" t="str">
        <f t="shared" si="1"/>
        <v/>
      </c>
      <c r="J41" s="6">
        <v>1.0</v>
      </c>
      <c r="K41" s="7" t="str">
        <f t="shared" si="2"/>
        <v/>
      </c>
      <c r="L41" s="6">
        <v>1.0</v>
      </c>
      <c r="M41" s="7" t="str">
        <f t="shared" si="3"/>
        <v/>
      </c>
      <c r="N41" s="6">
        <v>1.0</v>
      </c>
      <c r="O41" s="7" t="str">
        <f t="shared" si="4"/>
        <v/>
      </c>
      <c r="P41" s="6">
        <v>1.0</v>
      </c>
      <c r="Q41" s="7" t="str">
        <f t="shared" si="5"/>
        <v/>
      </c>
      <c r="R41" s="6">
        <v>1.0</v>
      </c>
      <c r="S41" s="7" t="str">
        <f t="shared" si="6"/>
        <v/>
      </c>
      <c r="T41" s="6">
        <v>1.0</v>
      </c>
      <c r="U41" s="7" t="str">
        <f t="shared" si="7"/>
        <v/>
      </c>
      <c r="V41" s="6">
        <v>1.0</v>
      </c>
      <c r="W41" s="7" t="str">
        <f t="shared" si="8"/>
        <v/>
      </c>
      <c r="X41" s="6">
        <v>1.0</v>
      </c>
      <c r="Y41" s="7" t="str">
        <f t="shared" si="9"/>
        <v/>
      </c>
      <c r="Z41" s="6">
        <v>1.0</v>
      </c>
      <c r="AA41" s="7" t="str">
        <f t="shared" si="10"/>
        <v/>
      </c>
      <c r="AB41" s="6">
        <v>1.0</v>
      </c>
      <c r="AC41" s="7" t="str">
        <f t="shared" si="11"/>
        <v/>
      </c>
      <c r="AD41" s="6">
        <v>2.0</v>
      </c>
      <c r="AE41" s="7" t="str">
        <f t="shared" si="12"/>
        <v/>
      </c>
      <c r="AF41" s="6">
        <v>1.0</v>
      </c>
      <c r="AG41" s="7" t="str">
        <f t="shared" si="13"/>
        <v/>
      </c>
      <c r="AH41" s="6">
        <v>1.0</v>
      </c>
      <c r="AI41" s="7" t="str">
        <f t="shared" si="14"/>
        <v/>
      </c>
      <c r="AJ41" s="6">
        <v>1.0</v>
      </c>
      <c r="AK41" s="7" t="str">
        <f t="shared" si="15"/>
        <v/>
      </c>
      <c r="AL41" s="6">
        <v>1.0</v>
      </c>
      <c r="AM41" s="7" t="str">
        <f t="shared" si="16"/>
        <v/>
      </c>
      <c r="AN41" s="6">
        <v>1.0</v>
      </c>
      <c r="AO41" s="7" t="str">
        <f t="shared" si="17"/>
        <v/>
      </c>
      <c r="AP41" s="6">
        <v>1.0</v>
      </c>
      <c r="AQ41" s="7" t="str">
        <f t="shared" si="18"/>
        <v/>
      </c>
      <c r="AR41" s="6">
        <v>1.0</v>
      </c>
      <c r="AS41" s="7" t="str">
        <f t="shared" si="19"/>
        <v/>
      </c>
      <c r="AT41" s="6" t="s">
        <v>36</v>
      </c>
      <c r="AU41" s="7" t="str">
        <f t="shared" si="20"/>
        <v/>
      </c>
      <c r="AV41" s="6">
        <v>1.0</v>
      </c>
      <c r="AW41" s="7" t="str">
        <f t="shared" si="21"/>
        <v/>
      </c>
    </row>
    <row r="42" ht="18.0" customHeight="1">
      <c r="A42" s="3">
        <v>40.0</v>
      </c>
      <c r="B42" s="3" t="s">
        <v>116</v>
      </c>
      <c r="C42" s="3" t="s">
        <v>45</v>
      </c>
      <c r="D42" s="1" t="s">
        <v>80</v>
      </c>
      <c r="E42" s="4" t="s">
        <v>87</v>
      </c>
      <c r="F42" s="4" t="s">
        <v>82</v>
      </c>
      <c r="G42" s="8"/>
      <c r="H42" s="6">
        <v>2.0</v>
      </c>
      <c r="I42" s="7" t="str">
        <f t="shared" si="1"/>
        <v/>
      </c>
      <c r="J42" s="6">
        <v>2.0</v>
      </c>
      <c r="K42" s="7" t="str">
        <f t="shared" si="2"/>
        <v/>
      </c>
      <c r="L42" s="6">
        <v>2.0</v>
      </c>
      <c r="M42" s="7" t="str">
        <f t="shared" si="3"/>
        <v/>
      </c>
      <c r="N42" s="6">
        <v>2.0</v>
      </c>
      <c r="O42" s="7" t="str">
        <f t="shared" si="4"/>
        <v/>
      </c>
      <c r="P42" s="6">
        <v>2.0</v>
      </c>
      <c r="Q42" s="7" t="str">
        <f t="shared" si="5"/>
        <v/>
      </c>
      <c r="R42" s="6" t="s">
        <v>36</v>
      </c>
      <c r="S42" s="7" t="str">
        <f t="shared" si="6"/>
        <v/>
      </c>
      <c r="T42" s="6">
        <v>2.0</v>
      </c>
      <c r="U42" s="7" t="str">
        <f t="shared" si="7"/>
        <v/>
      </c>
      <c r="V42" s="6" t="s">
        <v>36</v>
      </c>
      <c r="W42" s="7" t="str">
        <f t="shared" si="8"/>
        <v/>
      </c>
      <c r="X42" s="6">
        <v>2.0</v>
      </c>
      <c r="Y42" s="7" t="str">
        <f t="shared" si="9"/>
        <v/>
      </c>
      <c r="Z42" s="6">
        <v>1.0</v>
      </c>
      <c r="AA42" s="7" t="str">
        <f t="shared" si="10"/>
        <v/>
      </c>
      <c r="AB42" s="6" t="s">
        <v>36</v>
      </c>
      <c r="AC42" s="7" t="str">
        <f t="shared" si="11"/>
        <v/>
      </c>
      <c r="AD42" s="6" t="s">
        <v>36</v>
      </c>
      <c r="AE42" s="7" t="str">
        <f t="shared" si="12"/>
        <v/>
      </c>
      <c r="AF42" s="6">
        <v>2.0</v>
      </c>
      <c r="AG42" s="7" t="str">
        <f t="shared" si="13"/>
        <v/>
      </c>
      <c r="AH42" s="6">
        <v>2.0</v>
      </c>
      <c r="AI42" s="7" t="str">
        <f t="shared" si="14"/>
        <v/>
      </c>
      <c r="AJ42" s="6">
        <v>2.0</v>
      </c>
      <c r="AK42" s="7" t="str">
        <f t="shared" si="15"/>
        <v/>
      </c>
      <c r="AL42" s="6">
        <v>2.0</v>
      </c>
      <c r="AM42" s="7" t="str">
        <f t="shared" si="16"/>
        <v/>
      </c>
      <c r="AN42" s="6">
        <v>2.0</v>
      </c>
      <c r="AO42" s="7" t="str">
        <f t="shared" si="17"/>
        <v/>
      </c>
      <c r="AP42" s="6">
        <v>2.0</v>
      </c>
      <c r="AQ42" s="7" t="str">
        <f t="shared" si="18"/>
        <v/>
      </c>
      <c r="AR42" s="6">
        <v>1.0</v>
      </c>
      <c r="AS42" s="7" t="str">
        <f t="shared" si="19"/>
        <v/>
      </c>
      <c r="AT42" s="6" t="s">
        <v>36</v>
      </c>
      <c r="AU42" s="7" t="str">
        <f t="shared" si="20"/>
        <v/>
      </c>
      <c r="AV42" s="6">
        <v>2.0</v>
      </c>
      <c r="AW42" s="7" t="str">
        <f t="shared" si="21"/>
        <v/>
      </c>
    </row>
    <row r="43" ht="18.0" customHeight="1">
      <c r="A43" s="3">
        <v>41.0</v>
      </c>
      <c r="B43" s="3" t="s">
        <v>116</v>
      </c>
      <c r="C43" s="3" t="s">
        <v>62</v>
      </c>
      <c r="D43" s="1" t="s">
        <v>94</v>
      </c>
      <c r="E43" s="4" t="s">
        <v>95</v>
      </c>
      <c r="F43" s="4" t="s">
        <v>97</v>
      </c>
      <c r="G43" s="8"/>
      <c r="H43" s="6">
        <v>1.0</v>
      </c>
      <c r="I43" s="7" t="str">
        <f t="shared" si="1"/>
        <v/>
      </c>
      <c r="J43" s="6">
        <v>1.0</v>
      </c>
      <c r="K43" s="7" t="str">
        <f t="shared" si="2"/>
        <v/>
      </c>
      <c r="L43" s="6">
        <v>1.0</v>
      </c>
      <c r="M43" s="7" t="str">
        <f t="shared" si="3"/>
        <v/>
      </c>
      <c r="N43" s="6">
        <v>1.0</v>
      </c>
      <c r="O43" s="7" t="str">
        <f t="shared" si="4"/>
        <v/>
      </c>
      <c r="P43" s="6">
        <v>1.0</v>
      </c>
      <c r="Q43" s="7" t="str">
        <f t="shared" si="5"/>
        <v/>
      </c>
      <c r="R43" s="6">
        <v>1.0</v>
      </c>
      <c r="S43" s="7" t="str">
        <f t="shared" si="6"/>
        <v/>
      </c>
      <c r="T43" s="6">
        <v>1.0</v>
      </c>
      <c r="U43" s="7" t="str">
        <f t="shared" si="7"/>
        <v/>
      </c>
      <c r="V43" s="6" t="s">
        <v>36</v>
      </c>
      <c r="W43" s="7" t="str">
        <f t="shared" si="8"/>
        <v/>
      </c>
      <c r="X43" s="6">
        <v>1.0</v>
      </c>
      <c r="Y43" s="7" t="str">
        <f t="shared" si="9"/>
        <v/>
      </c>
      <c r="Z43" s="6">
        <v>1.0</v>
      </c>
      <c r="AA43" s="7" t="str">
        <f t="shared" si="10"/>
        <v/>
      </c>
      <c r="AB43" s="6">
        <v>1.0</v>
      </c>
      <c r="AC43" s="7" t="str">
        <f t="shared" si="11"/>
        <v/>
      </c>
      <c r="AD43" s="6">
        <v>1.0</v>
      </c>
      <c r="AE43" s="7" t="str">
        <f t="shared" si="12"/>
        <v/>
      </c>
      <c r="AF43" s="6">
        <v>1.0</v>
      </c>
      <c r="AG43" s="7" t="str">
        <f t="shared" si="13"/>
        <v/>
      </c>
      <c r="AH43" s="6">
        <v>1.0</v>
      </c>
      <c r="AI43" s="7" t="str">
        <f t="shared" si="14"/>
        <v/>
      </c>
      <c r="AJ43" s="6">
        <v>1.0</v>
      </c>
      <c r="AK43" s="7" t="str">
        <f t="shared" si="15"/>
        <v/>
      </c>
      <c r="AL43" s="6" t="s">
        <v>36</v>
      </c>
      <c r="AM43" s="7" t="str">
        <f t="shared" si="16"/>
        <v/>
      </c>
      <c r="AN43" s="6">
        <v>1.0</v>
      </c>
      <c r="AO43" s="7" t="str">
        <f t="shared" si="17"/>
        <v/>
      </c>
      <c r="AP43" s="6">
        <v>1.0</v>
      </c>
      <c r="AQ43" s="7" t="str">
        <f t="shared" si="18"/>
        <v/>
      </c>
      <c r="AR43" s="6">
        <v>1.0</v>
      </c>
      <c r="AS43" s="7" t="str">
        <f t="shared" si="19"/>
        <v/>
      </c>
      <c r="AT43" s="6">
        <v>1.0</v>
      </c>
      <c r="AU43" s="7" t="str">
        <f t="shared" si="20"/>
        <v/>
      </c>
      <c r="AV43" s="6">
        <v>1.0</v>
      </c>
      <c r="AW43" s="7" t="str">
        <f t="shared" si="21"/>
        <v/>
      </c>
    </row>
    <row r="44" ht="18.0" customHeight="1">
      <c r="A44" s="3">
        <v>42.0</v>
      </c>
      <c r="B44" s="3" t="s">
        <v>116</v>
      </c>
      <c r="C44" s="3" t="s">
        <v>117</v>
      </c>
      <c r="D44" s="1" t="s">
        <v>88</v>
      </c>
      <c r="E44" s="4" t="s">
        <v>89</v>
      </c>
      <c r="F44" s="4" t="s">
        <v>92</v>
      </c>
      <c r="G44" s="8"/>
      <c r="H44" s="6">
        <v>1.0</v>
      </c>
      <c r="I44" s="7" t="str">
        <f t="shared" si="1"/>
        <v/>
      </c>
      <c r="J44" s="6">
        <v>1.0</v>
      </c>
      <c r="K44" s="7" t="str">
        <f t="shared" si="2"/>
        <v/>
      </c>
      <c r="L44" s="6">
        <v>1.0</v>
      </c>
      <c r="M44" s="7" t="str">
        <f t="shared" si="3"/>
        <v/>
      </c>
      <c r="N44" s="6">
        <v>1.0</v>
      </c>
      <c r="O44" s="7" t="str">
        <f t="shared" si="4"/>
        <v/>
      </c>
      <c r="P44" s="6">
        <v>1.0</v>
      </c>
      <c r="Q44" s="7" t="str">
        <f t="shared" si="5"/>
        <v/>
      </c>
      <c r="R44" s="6">
        <v>1.0</v>
      </c>
      <c r="S44" s="7" t="str">
        <f t="shared" si="6"/>
        <v/>
      </c>
      <c r="T44" s="6">
        <v>1.0</v>
      </c>
      <c r="U44" s="7" t="str">
        <f t="shared" si="7"/>
        <v/>
      </c>
      <c r="V44" s="6">
        <v>1.0</v>
      </c>
      <c r="W44" s="7" t="str">
        <f t="shared" si="8"/>
        <v/>
      </c>
      <c r="X44" s="6">
        <v>1.0</v>
      </c>
      <c r="Y44" s="7" t="str">
        <f t="shared" si="9"/>
        <v/>
      </c>
      <c r="Z44" s="6" t="s">
        <v>36</v>
      </c>
      <c r="AA44" s="7" t="str">
        <f t="shared" si="10"/>
        <v/>
      </c>
      <c r="AB44" s="6">
        <v>1.0</v>
      </c>
      <c r="AC44" s="7" t="str">
        <f t="shared" si="11"/>
        <v/>
      </c>
      <c r="AD44" s="6">
        <v>1.0</v>
      </c>
      <c r="AE44" s="7" t="str">
        <f t="shared" si="12"/>
        <v/>
      </c>
      <c r="AF44" s="6">
        <v>1.0</v>
      </c>
      <c r="AG44" s="7" t="str">
        <f t="shared" si="13"/>
        <v/>
      </c>
      <c r="AH44" s="6">
        <v>1.0</v>
      </c>
      <c r="AI44" s="7" t="str">
        <f t="shared" si="14"/>
        <v/>
      </c>
      <c r="AJ44" s="6">
        <v>1.0</v>
      </c>
      <c r="AK44" s="7" t="str">
        <f t="shared" si="15"/>
        <v/>
      </c>
      <c r="AL44" s="6">
        <v>1.0</v>
      </c>
      <c r="AM44" s="7" t="str">
        <f t="shared" si="16"/>
        <v/>
      </c>
      <c r="AN44" s="6">
        <v>1.0</v>
      </c>
      <c r="AO44" s="7" t="str">
        <f t="shared" si="17"/>
        <v/>
      </c>
      <c r="AP44" s="6">
        <v>1.0</v>
      </c>
      <c r="AQ44" s="7" t="str">
        <f t="shared" si="18"/>
        <v/>
      </c>
      <c r="AR44" s="6">
        <v>1.0</v>
      </c>
      <c r="AS44" s="7" t="str">
        <f t="shared" si="19"/>
        <v/>
      </c>
      <c r="AT44" s="6">
        <v>1.0</v>
      </c>
      <c r="AU44" s="7" t="str">
        <f t="shared" si="20"/>
        <v/>
      </c>
      <c r="AV44" s="6">
        <v>1.0</v>
      </c>
      <c r="AW44" s="7" t="str">
        <f t="shared" si="21"/>
        <v/>
      </c>
    </row>
    <row r="45" ht="18.0" customHeight="1">
      <c r="A45" s="3">
        <v>43.0</v>
      </c>
      <c r="B45" s="3" t="s">
        <v>118</v>
      </c>
      <c r="C45" s="3" t="s">
        <v>115</v>
      </c>
      <c r="D45" s="1" t="s">
        <v>88</v>
      </c>
      <c r="E45" s="4" t="s">
        <v>93</v>
      </c>
      <c r="F45" s="4" t="s">
        <v>90</v>
      </c>
      <c r="G45" s="8"/>
      <c r="H45" s="6">
        <v>1.0</v>
      </c>
      <c r="I45" s="7" t="str">
        <f t="shared" si="1"/>
        <v/>
      </c>
      <c r="J45" s="6">
        <v>1.0</v>
      </c>
      <c r="K45" s="7" t="str">
        <f t="shared" si="2"/>
        <v/>
      </c>
      <c r="L45" s="6">
        <v>1.0</v>
      </c>
      <c r="M45" s="7" t="str">
        <f t="shared" si="3"/>
        <v/>
      </c>
      <c r="N45" s="6" t="s">
        <v>36</v>
      </c>
      <c r="O45" s="7" t="str">
        <f t="shared" si="4"/>
        <v/>
      </c>
      <c r="P45" s="6" t="s">
        <v>36</v>
      </c>
      <c r="Q45" s="7" t="str">
        <f t="shared" si="5"/>
        <v/>
      </c>
      <c r="R45" s="6">
        <v>1.0</v>
      </c>
      <c r="S45" s="7" t="str">
        <f t="shared" si="6"/>
        <v/>
      </c>
      <c r="T45" s="6">
        <v>1.0</v>
      </c>
      <c r="U45" s="7" t="str">
        <f t="shared" si="7"/>
        <v/>
      </c>
      <c r="V45" s="6" t="s">
        <v>36</v>
      </c>
      <c r="W45" s="7" t="str">
        <f t="shared" si="8"/>
        <v/>
      </c>
      <c r="X45" s="6">
        <v>2.0</v>
      </c>
      <c r="Y45" s="7" t="str">
        <f t="shared" si="9"/>
        <v/>
      </c>
      <c r="Z45" s="6">
        <v>2.0</v>
      </c>
      <c r="AA45" s="7" t="str">
        <f t="shared" si="10"/>
        <v/>
      </c>
      <c r="AB45" s="6" t="s">
        <v>36</v>
      </c>
      <c r="AC45" s="7" t="str">
        <f t="shared" si="11"/>
        <v/>
      </c>
      <c r="AD45" s="6">
        <v>1.0</v>
      </c>
      <c r="AE45" s="7" t="str">
        <f t="shared" si="12"/>
        <v/>
      </c>
      <c r="AF45" s="6">
        <v>1.0</v>
      </c>
      <c r="AG45" s="7" t="str">
        <f t="shared" si="13"/>
        <v/>
      </c>
      <c r="AH45" s="6">
        <v>1.0</v>
      </c>
      <c r="AI45" s="7" t="str">
        <f t="shared" si="14"/>
        <v/>
      </c>
      <c r="AJ45" s="6">
        <v>1.0</v>
      </c>
      <c r="AK45" s="7" t="str">
        <f t="shared" si="15"/>
        <v/>
      </c>
      <c r="AL45" s="6">
        <v>1.0</v>
      </c>
      <c r="AM45" s="7" t="str">
        <f t="shared" si="16"/>
        <v/>
      </c>
      <c r="AN45" s="6" t="s">
        <v>36</v>
      </c>
      <c r="AO45" s="7" t="str">
        <f t="shared" si="17"/>
        <v/>
      </c>
      <c r="AP45" s="6">
        <v>1.0</v>
      </c>
      <c r="AQ45" s="7" t="str">
        <f t="shared" si="18"/>
        <v/>
      </c>
      <c r="AR45" s="6">
        <v>1.0</v>
      </c>
      <c r="AS45" s="7" t="str">
        <f t="shared" si="19"/>
        <v/>
      </c>
      <c r="AT45" s="6">
        <v>2.0</v>
      </c>
      <c r="AU45" s="7" t="str">
        <f t="shared" si="20"/>
        <v/>
      </c>
      <c r="AV45" s="6">
        <v>1.0</v>
      </c>
      <c r="AW45" s="7" t="str">
        <f t="shared" si="21"/>
        <v/>
      </c>
    </row>
    <row r="46" ht="18.0" customHeight="1">
      <c r="A46" s="3">
        <v>44.0</v>
      </c>
      <c r="B46" s="3" t="s">
        <v>118</v>
      </c>
      <c r="C46" s="3" t="s">
        <v>113</v>
      </c>
      <c r="D46" s="1" t="s">
        <v>94</v>
      </c>
      <c r="E46" s="4" t="s">
        <v>98</v>
      </c>
      <c r="F46" s="4" t="s">
        <v>96</v>
      </c>
      <c r="G46" s="8"/>
      <c r="H46" s="6">
        <v>2.0</v>
      </c>
      <c r="I46" s="7" t="str">
        <f t="shared" si="1"/>
        <v/>
      </c>
      <c r="J46" s="6" t="s">
        <v>36</v>
      </c>
      <c r="K46" s="7" t="str">
        <f t="shared" si="2"/>
        <v/>
      </c>
      <c r="L46" s="6">
        <v>2.0</v>
      </c>
      <c r="M46" s="7" t="str">
        <f t="shared" si="3"/>
        <v/>
      </c>
      <c r="N46" s="6">
        <v>2.0</v>
      </c>
      <c r="O46" s="7" t="str">
        <f t="shared" si="4"/>
        <v/>
      </c>
      <c r="P46" s="6">
        <v>2.0</v>
      </c>
      <c r="Q46" s="7" t="str">
        <f t="shared" si="5"/>
        <v/>
      </c>
      <c r="R46" s="6">
        <v>2.0</v>
      </c>
      <c r="S46" s="7" t="str">
        <f t="shared" si="6"/>
        <v/>
      </c>
      <c r="T46" s="6">
        <v>2.0</v>
      </c>
      <c r="U46" s="7" t="str">
        <f t="shared" si="7"/>
        <v/>
      </c>
      <c r="V46" s="6">
        <v>2.0</v>
      </c>
      <c r="W46" s="7" t="str">
        <f t="shared" si="8"/>
        <v/>
      </c>
      <c r="X46" s="6">
        <v>2.0</v>
      </c>
      <c r="Y46" s="7" t="str">
        <f t="shared" si="9"/>
        <v/>
      </c>
      <c r="Z46" s="6" t="s">
        <v>36</v>
      </c>
      <c r="AA46" s="7" t="str">
        <f t="shared" si="10"/>
        <v/>
      </c>
      <c r="AB46" s="6">
        <v>2.0</v>
      </c>
      <c r="AC46" s="7" t="str">
        <f t="shared" si="11"/>
        <v/>
      </c>
      <c r="AD46" s="6" t="s">
        <v>36</v>
      </c>
      <c r="AE46" s="7" t="str">
        <f t="shared" si="12"/>
        <v/>
      </c>
      <c r="AF46" s="6">
        <v>2.0</v>
      </c>
      <c r="AG46" s="7" t="str">
        <f t="shared" si="13"/>
        <v/>
      </c>
      <c r="AH46" s="6">
        <v>2.0</v>
      </c>
      <c r="AI46" s="7" t="str">
        <f t="shared" si="14"/>
        <v/>
      </c>
      <c r="AJ46" s="6">
        <v>2.0</v>
      </c>
      <c r="AK46" s="7" t="str">
        <f t="shared" si="15"/>
        <v/>
      </c>
      <c r="AL46" s="6">
        <v>2.0</v>
      </c>
      <c r="AM46" s="7" t="str">
        <f t="shared" si="16"/>
        <v/>
      </c>
      <c r="AN46" s="6">
        <v>2.0</v>
      </c>
      <c r="AO46" s="7" t="str">
        <f t="shared" si="17"/>
        <v/>
      </c>
      <c r="AP46" s="6">
        <v>2.0</v>
      </c>
      <c r="AQ46" s="7" t="str">
        <f t="shared" si="18"/>
        <v/>
      </c>
      <c r="AR46" s="6">
        <v>2.0</v>
      </c>
      <c r="AS46" s="7" t="str">
        <f t="shared" si="19"/>
        <v/>
      </c>
      <c r="AT46" s="6">
        <v>2.0</v>
      </c>
      <c r="AU46" s="7" t="str">
        <f t="shared" si="20"/>
        <v/>
      </c>
      <c r="AV46" s="6">
        <v>2.0</v>
      </c>
      <c r="AW46" s="7" t="str">
        <f t="shared" si="21"/>
        <v/>
      </c>
    </row>
    <row r="47" ht="18.0" customHeight="1">
      <c r="A47" s="3">
        <v>45.0</v>
      </c>
      <c r="B47" s="3" t="s">
        <v>118</v>
      </c>
      <c r="C47" s="3" t="s">
        <v>62</v>
      </c>
      <c r="D47" s="1" t="s">
        <v>99</v>
      </c>
      <c r="E47" s="4" t="s">
        <v>100</v>
      </c>
      <c r="F47" s="4" t="s">
        <v>108</v>
      </c>
      <c r="G47" s="8"/>
      <c r="H47" s="6">
        <v>1.0</v>
      </c>
      <c r="I47" s="7" t="str">
        <f t="shared" si="1"/>
        <v/>
      </c>
      <c r="J47" s="6">
        <v>1.0</v>
      </c>
      <c r="K47" s="7" t="str">
        <f t="shared" si="2"/>
        <v/>
      </c>
      <c r="L47" s="6">
        <v>1.0</v>
      </c>
      <c r="M47" s="7" t="str">
        <f t="shared" si="3"/>
        <v/>
      </c>
      <c r="N47" s="6">
        <v>1.0</v>
      </c>
      <c r="O47" s="7" t="str">
        <f t="shared" si="4"/>
        <v/>
      </c>
      <c r="P47" s="6">
        <v>1.0</v>
      </c>
      <c r="Q47" s="7" t="str">
        <f t="shared" si="5"/>
        <v/>
      </c>
      <c r="R47" s="6">
        <v>1.0</v>
      </c>
      <c r="S47" s="7" t="str">
        <f t="shared" si="6"/>
        <v/>
      </c>
      <c r="T47" s="6">
        <v>1.0</v>
      </c>
      <c r="U47" s="7" t="str">
        <f t="shared" si="7"/>
        <v/>
      </c>
      <c r="V47" s="6" t="s">
        <v>36</v>
      </c>
      <c r="W47" s="7" t="str">
        <f t="shared" si="8"/>
        <v/>
      </c>
      <c r="X47" s="6">
        <v>1.0</v>
      </c>
      <c r="Y47" s="7" t="str">
        <f t="shared" si="9"/>
        <v/>
      </c>
      <c r="Z47" s="6">
        <v>1.0</v>
      </c>
      <c r="AA47" s="7" t="str">
        <f t="shared" si="10"/>
        <v/>
      </c>
      <c r="AB47" s="6">
        <v>1.0</v>
      </c>
      <c r="AC47" s="7" t="str">
        <f t="shared" si="11"/>
        <v/>
      </c>
      <c r="AD47" s="6">
        <v>1.0</v>
      </c>
      <c r="AE47" s="7" t="str">
        <f t="shared" si="12"/>
        <v/>
      </c>
      <c r="AF47" s="6">
        <v>1.0</v>
      </c>
      <c r="AG47" s="7" t="str">
        <f t="shared" si="13"/>
        <v/>
      </c>
      <c r="AH47" s="6">
        <v>1.0</v>
      </c>
      <c r="AI47" s="7" t="str">
        <f t="shared" si="14"/>
        <v/>
      </c>
      <c r="AJ47" s="6">
        <v>1.0</v>
      </c>
      <c r="AK47" s="7" t="str">
        <f t="shared" si="15"/>
        <v/>
      </c>
      <c r="AL47" s="6" t="s">
        <v>36</v>
      </c>
      <c r="AM47" s="7" t="str">
        <f t="shared" si="16"/>
        <v/>
      </c>
      <c r="AN47" s="6">
        <v>1.0</v>
      </c>
      <c r="AO47" s="7" t="str">
        <f t="shared" si="17"/>
        <v/>
      </c>
      <c r="AP47" s="6">
        <v>1.0</v>
      </c>
      <c r="AQ47" s="7" t="str">
        <f t="shared" si="18"/>
        <v/>
      </c>
      <c r="AR47" s="6">
        <v>1.0</v>
      </c>
      <c r="AS47" s="7" t="str">
        <f t="shared" si="19"/>
        <v/>
      </c>
      <c r="AT47" s="6">
        <v>1.0</v>
      </c>
      <c r="AU47" s="7" t="str">
        <f t="shared" si="20"/>
        <v/>
      </c>
      <c r="AV47" s="6">
        <v>1.0</v>
      </c>
      <c r="AW47" s="7" t="str">
        <f t="shared" si="21"/>
        <v/>
      </c>
    </row>
    <row r="48" ht="18.0" customHeight="1">
      <c r="A48" s="3">
        <v>46.0</v>
      </c>
      <c r="B48" s="3" t="s">
        <v>118</v>
      </c>
      <c r="C48" s="3" t="s">
        <v>66</v>
      </c>
      <c r="D48" s="1" t="s">
        <v>102</v>
      </c>
      <c r="E48" s="4" t="s">
        <v>103</v>
      </c>
      <c r="F48" s="4" t="s">
        <v>106</v>
      </c>
      <c r="G48" s="8"/>
      <c r="H48" s="6">
        <v>1.0</v>
      </c>
      <c r="I48" s="7" t="str">
        <f t="shared" si="1"/>
        <v/>
      </c>
      <c r="J48" s="6">
        <v>1.0</v>
      </c>
      <c r="K48" s="7" t="str">
        <f t="shared" si="2"/>
        <v/>
      </c>
      <c r="L48" s="6">
        <v>1.0</v>
      </c>
      <c r="M48" s="7" t="str">
        <f t="shared" si="3"/>
        <v/>
      </c>
      <c r="N48" s="6">
        <v>1.0</v>
      </c>
      <c r="O48" s="7" t="str">
        <f t="shared" si="4"/>
        <v/>
      </c>
      <c r="P48" s="6">
        <v>1.0</v>
      </c>
      <c r="Q48" s="7" t="str">
        <f t="shared" si="5"/>
        <v/>
      </c>
      <c r="R48" s="6">
        <v>1.0</v>
      </c>
      <c r="S48" s="7" t="str">
        <f t="shared" si="6"/>
        <v/>
      </c>
      <c r="T48" s="6">
        <v>1.0</v>
      </c>
      <c r="U48" s="7" t="str">
        <f t="shared" si="7"/>
        <v/>
      </c>
      <c r="V48" s="6" t="s">
        <v>36</v>
      </c>
      <c r="W48" s="7" t="str">
        <f t="shared" si="8"/>
        <v/>
      </c>
      <c r="X48" s="6">
        <v>1.0</v>
      </c>
      <c r="Y48" s="7" t="str">
        <f t="shared" si="9"/>
        <v/>
      </c>
      <c r="Z48" s="6">
        <v>1.0</v>
      </c>
      <c r="AA48" s="7" t="str">
        <f t="shared" si="10"/>
        <v/>
      </c>
      <c r="AB48" s="6">
        <v>2.0</v>
      </c>
      <c r="AC48" s="7" t="str">
        <f t="shared" si="11"/>
        <v/>
      </c>
      <c r="AD48" s="6">
        <v>1.0</v>
      </c>
      <c r="AE48" s="7" t="str">
        <f t="shared" si="12"/>
        <v/>
      </c>
      <c r="AF48" s="6">
        <v>1.0</v>
      </c>
      <c r="AG48" s="7" t="str">
        <f t="shared" si="13"/>
        <v/>
      </c>
      <c r="AH48" s="6">
        <v>1.0</v>
      </c>
      <c r="AI48" s="7" t="str">
        <f t="shared" si="14"/>
        <v/>
      </c>
      <c r="AJ48" s="6" t="s">
        <v>36</v>
      </c>
      <c r="AK48" s="7" t="str">
        <f t="shared" si="15"/>
        <v/>
      </c>
      <c r="AL48" s="6">
        <v>1.0</v>
      </c>
      <c r="AM48" s="7" t="str">
        <f t="shared" si="16"/>
        <v/>
      </c>
      <c r="AN48" s="6">
        <v>1.0</v>
      </c>
      <c r="AO48" s="7" t="str">
        <f t="shared" si="17"/>
        <v/>
      </c>
      <c r="AP48" s="6">
        <v>1.0</v>
      </c>
      <c r="AQ48" s="7" t="str">
        <f t="shared" si="18"/>
        <v/>
      </c>
      <c r="AR48" s="6">
        <v>1.0</v>
      </c>
      <c r="AS48" s="7" t="str">
        <f t="shared" si="19"/>
        <v/>
      </c>
      <c r="AT48" s="6">
        <v>1.0</v>
      </c>
      <c r="AU48" s="7" t="str">
        <f t="shared" si="20"/>
        <v/>
      </c>
      <c r="AV48" s="6" t="s">
        <v>36</v>
      </c>
      <c r="AW48" s="7" t="str">
        <f t="shared" si="21"/>
        <v/>
      </c>
    </row>
    <row r="49" ht="18.0" customHeight="1">
      <c r="A49" s="3">
        <v>47.0</v>
      </c>
      <c r="B49" s="3" t="s">
        <v>119</v>
      </c>
      <c r="C49" s="3" t="s">
        <v>71</v>
      </c>
      <c r="D49" s="1" t="s">
        <v>102</v>
      </c>
      <c r="E49" s="4" t="s">
        <v>107</v>
      </c>
      <c r="F49" s="4" t="s">
        <v>104</v>
      </c>
      <c r="G49" s="8"/>
      <c r="H49" s="6">
        <v>2.0</v>
      </c>
      <c r="I49" s="7" t="str">
        <f t="shared" si="1"/>
        <v/>
      </c>
      <c r="J49" s="6">
        <v>2.0</v>
      </c>
      <c r="K49" s="7" t="str">
        <f t="shared" si="2"/>
        <v/>
      </c>
      <c r="L49" s="6" t="s">
        <v>36</v>
      </c>
      <c r="M49" s="7" t="str">
        <f t="shared" si="3"/>
        <v/>
      </c>
      <c r="N49" s="6">
        <v>2.0</v>
      </c>
      <c r="O49" s="7" t="str">
        <f t="shared" si="4"/>
        <v/>
      </c>
      <c r="P49" s="6">
        <v>2.0</v>
      </c>
      <c r="Q49" s="7" t="str">
        <f t="shared" si="5"/>
        <v/>
      </c>
      <c r="R49" s="6">
        <v>2.0</v>
      </c>
      <c r="S49" s="7" t="str">
        <f t="shared" si="6"/>
        <v/>
      </c>
      <c r="T49" s="6">
        <v>2.0</v>
      </c>
      <c r="U49" s="7" t="str">
        <f t="shared" si="7"/>
        <v/>
      </c>
      <c r="V49" s="6">
        <v>2.0</v>
      </c>
      <c r="W49" s="7" t="str">
        <f t="shared" si="8"/>
        <v/>
      </c>
      <c r="X49" s="6">
        <v>2.0</v>
      </c>
      <c r="Y49" s="7" t="str">
        <f t="shared" si="9"/>
        <v/>
      </c>
      <c r="Z49" s="6" t="s">
        <v>36</v>
      </c>
      <c r="AA49" s="7" t="str">
        <f t="shared" si="10"/>
        <v/>
      </c>
      <c r="AB49" s="6">
        <v>2.0</v>
      </c>
      <c r="AC49" s="7" t="str">
        <f t="shared" si="11"/>
        <v/>
      </c>
      <c r="AD49" s="6" t="s">
        <v>36</v>
      </c>
      <c r="AE49" s="7" t="str">
        <f t="shared" si="12"/>
        <v/>
      </c>
      <c r="AF49" s="6">
        <v>2.0</v>
      </c>
      <c r="AG49" s="7" t="str">
        <f t="shared" si="13"/>
        <v/>
      </c>
      <c r="AH49" s="6">
        <v>2.0</v>
      </c>
      <c r="AI49" s="7" t="str">
        <f t="shared" si="14"/>
        <v/>
      </c>
      <c r="AJ49" s="6">
        <v>2.0</v>
      </c>
      <c r="AK49" s="7" t="str">
        <f t="shared" si="15"/>
        <v/>
      </c>
      <c r="AL49" s="6">
        <v>2.0</v>
      </c>
      <c r="AM49" s="7" t="str">
        <f t="shared" si="16"/>
        <v/>
      </c>
      <c r="AN49" s="6">
        <v>2.0</v>
      </c>
      <c r="AO49" s="7" t="str">
        <f t="shared" si="17"/>
        <v/>
      </c>
      <c r="AP49" s="6">
        <v>2.0</v>
      </c>
      <c r="AQ49" s="7" t="str">
        <f t="shared" si="18"/>
        <v/>
      </c>
      <c r="AR49" s="6">
        <v>1.0</v>
      </c>
      <c r="AS49" s="7" t="str">
        <f t="shared" si="19"/>
        <v/>
      </c>
      <c r="AT49" s="6">
        <v>2.0</v>
      </c>
      <c r="AU49" s="7" t="str">
        <f t="shared" si="20"/>
        <v/>
      </c>
      <c r="AV49" s="6">
        <v>2.0</v>
      </c>
      <c r="AW49" s="7" t="str">
        <f t="shared" si="21"/>
        <v/>
      </c>
    </row>
    <row r="50" ht="18.0" customHeight="1">
      <c r="A50" s="3">
        <v>48.0</v>
      </c>
      <c r="B50" s="3" t="s">
        <v>119</v>
      </c>
      <c r="C50" s="9">
        <v>0.16666666666666666</v>
      </c>
      <c r="D50" s="1" t="s">
        <v>99</v>
      </c>
      <c r="E50" s="4" t="s">
        <v>109</v>
      </c>
      <c r="F50" s="4" t="s">
        <v>101</v>
      </c>
      <c r="G50" s="8"/>
      <c r="H50" s="6" t="s">
        <v>36</v>
      </c>
      <c r="I50" s="7" t="str">
        <f t="shared" si="1"/>
        <v/>
      </c>
      <c r="J50" s="6">
        <v>1.0</v>
      </c>
      <c r="K50" s="7" t="str">
        <f t="shared" si="2"/>
        <v/>
      </c>
      <c r="L50" s="6" t="s">
        <v>36</v>
      </c>
      <c r="M50" s="7" t="str">
        <f t="shared" si="3"/>
        <v/>
      </c>
      <c r="N50" s="6" t="s">
        <v>36</v>
      </c>
      <c r="O50" s="7" t="str">
        <f t="shared" si="4"/>
        <v/>
      </c>
      <c r="P50" s="6">
        <v>1.0</v>
      </c>
      <c r="Q50" s="7" t="str">
        <f t="shared" si="5"/>
        <v/>
      </c>
      <c r="R50" s="6">
        <v>1.0</v>
      </c>
      <c r="S50" s="7" t="str">
        <f t="shared" si="6"/>
        <v/>
      </c>
      <c r="T50" s="6">
        <v>1.0</v>
      </c>
      <c r="U50" s="7" t="str">
        <f t="shared" si="7"/>
        <v/>
      </c>
      <c r="V50" s="6">
        <v>1.0</v>
      </c>
      <c r="W50" s="7" t="str">
        <f t="shared" si="8"/>
        <v/>
      </c>
      <c r="X50" s="6">
        <v>1.0</v>
      </c>
      <c r="Y50" s="7" t="str">
        <f t="shared" si="9"/>
        <v/>
      </c>
      <c r="Z50" s="6" t="s">
        <v>36</v>
      </c>
      <c r="AA50" s="7" t="str">
        <f t="shared" si="10"/>
        <v/>
      </c>
      <c r="AB50" s="6" t="s">
        <v>36</v>
      </c>
      <c r="AC50" s="7" t="str">
        <f t="shared" si="11"/>
        <v/>
      </c>
      <c r="AD50" s="6" t="s">
        <v>36</v>
      </c>
      <c r="AE50" s="7" t="str">
        <f t="shared" si="12"/>
        <v/>
      </c>
      <c r="AF50" s="6">
        <v>1.0</v>
      </c>
      <c r="AG50" s="7" t="str">
        <f t="shared" si="13"/>
        <v/>
      </c>
      <c r="AH50" s="6">
        <v>1.0</v>
      </c>
      <c r="AI50" s="7" t="str">
        <f t="shared" si="14"/>
        <v/>
      </c>
      <c r="AJ50" s="6">
        <v>1.0</v>
      </c>
      <c r="AK50" s="7" t="str">
        <f t="shared" si="15"/>
        <v/>
      </c>
      <c r="AL50" s="6">
        <v>1.0</v>
      </c>
      <c r="AM50" s="7" t="str">
        <f t="shared" si="16"/>
        <v/>
      </c>
      <c r="AN50" s="6">
        <v>1.0</v>
      </c>
      <c r="AO50" s="7" t="str">
        <f t="shared" si="17"/>
        <v/>
      </c>
      <c r="AP50" s="6">
        <v>1.0</v>
      </c>
      <c r="AQ50" s="7" t="str">
        <f t="shared" si="18"/>
        <v/>
      </c>
      <c r="AR50" s="6">
        <v>1.0</v>
      </c>
      <c r="AS50" s="7" t="str">
        <f t="shared" si="19"/>
        <v/>
      </c>
      <c r="AT50" s="6">
        <v>1.0</v>
      </c>
      <c r="AU50" s="7" t="str">
        <f t="shared" si="20"/>
        <v/>
      </c>
      <c r="AV50" s="6">
        <v>1.0</v>
      </c>
      <c r="AW50" s="7" t="str">
        <f t="shared" si="21"/>
        <v/>
      </c>
    </row>
    <row r="51" ht="18.0" customHeight="1">
      <c r="A51" s="3">
        <v>49.0</v>
      </c>
      <c r="B51" s="3" t="s">
        <v>119</v>
      </c>
      <c r="C51" s="3" t="s">
        <v>32</v>
      </c>
      <c r="D51" s="1" t="s">
        <v>41</v>
      </c>
      <c r="E51" s="4" t="s">
        <v>51</v>
      </c>
      <c r="F51" s="4" t="s">
        <v>42</v>
      </c>
      <c r="G51" s="8"/>
      <c r="H51" s="6">
        <v>1.0</v>
      </c>
      <c r="I51" s="7" t="str">
        <f t="shared" si="1"/>
        <v/>
      </c>
      <c r="J51" s="6" t="s">
        <v>36</v>
      </c>
      <c r="K51" s="7" t="str">
        <f t="shared" si="2"/>
        <v/>
      </c>
      <c r="L51" s="6">
        <v>2.0</v>
      </c>
      <c r="M51" s="7" t="str">
        <f t="shared" si="3"/>
        <v/>
      </c>
      <c r="N51" s="6">
        <v>1.0</v>
      </c>
      <c r="O51" s="7" t="str">
        <f t="shared" si="4"/>
        <v/>
      </c>
      <c r="P51" s="6" t="s">
        <v>36</v>
      </c>
      <c r="Q51" s="7" t="str">
        <f t="shared" si="5"/>
        <v/>
      </c>
      <c r="R51" s="6">
        <v>1.0</v>
      </c>
      <c r="S51" s="7" t="str">
        <f t="shared" si="6"/>
        <v/>
      </c>
      <c r="T51" s="6">
        <v>1.0</v>
      </c>
      <c r="U51" s="7" t="str">
        <f t="shared" si="7"/>
        <v/>
      </c>
      <c r="V51" s="6" t="s">
        <v>36</v>
      </c>
      <c r="W51" s="7" t="str">
        <f t="shared" si="8"/>
        <v/>
      </c>
      <c r="X51" s="6">
        <v>1.0</v>
      </c>
      <c r="Y51" s="7" t="str">
        <f t="shared" si="9"/>
        <v/>
      </c>
      <c r="Z51" s="6" t="s">
        <v>36</v>
      </c>
      <c r="AA51" s="7" t="str">
        <f t="shared" si="10"/>
        <v/>
      </c>
      <c r="AB51" s="6" t="s">
        <v>36</v>
      </c>
      <c r="AC51" s="7" t="str">
        <f t="shared" si="11"/>
        <v/>
      </c>
      <c r="AD51" s="6">
        <v>2.0</v>
      </c>
      <c r="AE51" s="7" t="str">
        <f t="shared" si="12"/>
        <v/>
      </c>
      <c r="AF51" s="6" t="s">
        <v>49</v>
      </c>
      <c r="AG51" s="7" t="str">
        <f t="shared" si="13"/>
        <v/>
      </c>
      <c r="AH51" s="6" t="s">
        <v>36</v>
      </c>
      <c r="AI51" s="7" t="str">
        <f t="shared" si="14"/>
        <v/>
      </c>
      <c r="AJ51" s="6" t="s">
        <v>36</v>
      </c>
      <c r="AK51" s="7" t="str">
        <f t="shared" si="15"/>
        <v/>
      </c>
      <c r="AL51" s="6">
        <v>1.0</v>
      </c>
      <c r="AM51" s="7" t="str">
        <f t="shared" si="16"/>
        <v/>
      </c>
      <c r="AN51" s="6" t="s">
        <v>36</v>
      </c>
      <c r="AO51" s="7" t="str">
        <f t="shared" si="17"/>
        <v/>
      </c>
      <c r="AP51" s="6">
        <v>2.0</v>
      </c>
      <c r="AQ51" s="7" t="str">
        <f t="shared" si="18"/>
        <v/>
      </c>
      <c r="AR51" s="6">
        <v>2.0</v>
      </c>
      <c r="AS51" s="7" t="str">
        <f t="shared" si="19"/>
        <v/>
      </c>
      <c r="AT51" s="6">
        <v>1.0</v>
      </c>
      <c r="AU51" s="7" t="str">
        <f t="shared" si="20"/>
        <v/>
      </c>
      <c r="AV51" s="6">
        <v>1.0</v>
      </c>
      <c r="AW51" s="7" t="str">
        <f t="shared" si="21"/>
        <v/>
      </c>
    </row>
    <row r="52" ht="18.0" customHeight="1">
      <c r="A52" s="3">
        <v>50.0</v>
      </c>
      <c r="B52" s="3" t="s">
        <v>119</v>
      </c>
      <c r="C52" s="3" t="s">
        <v>32</v>
      </c>
      <c r="D52" s="1" t="s">
        <v>41</v>
      </c>
      <c r="E52" s="4" t="s">
        <v>43</v>
      </c>
      <c r="F52" s="4" t="s">
        <v>50</v>
      </c>
      <c r="G52" s="8"/>
      <c r="H52" s="6">
        <v>1.0</v>
      </c>
      <c r="I52" s="7" t="str">
        <f t="shared" si="1"/>
        <v/>
      </c>
      <c r="J52" s="6">
        <v>1.0</v>
      </c>
      <c r="K52" s="7" t="str">
        <f t="shared" si="2"/>
        <v/>
      </c>
      <c r="L52" s="6">
        <v>2.0</v>
      </c>
      <c r="M52" s="7" t="str">
        <f t="shared" si="3"/>
        <v/>
      </c>
      <c r="N52" s="6">
        <v>1.0</v>
      </c>
      <c r="O52" s="7" t="str">
        <f t="shared" si="4"/>
        <v/>
      </c>
      <c r="P52" s="6">
        <v>1.0</v>
      </c>
      <c r="Q52" s="7" t="str">
        <f t="shared" si="5"/>
        <v/>
      </c>
      <c r="R52" s="6">
        <v>1.0</v>
      </c>
      <c r="S52" s="7" t="str">
        <f t="shared" si="6"/>
        <v/>
      </c>
      <c r="T52" s="6" t="s">
        <v>36</v>
      </c>
      <c r="U52" s="7" t="str">
        <f t="shared" si="7"/>
        <v/>
      </c>
      <c r="V52" s="6">
        <v>1.0</v>
      </c>
      <c r="W52" s="7" t="str">
        <f t="shared" si="8"/>
        <v/>
      </c>
      <c r="X52" s="6">
        <v>1.0</v>
      </c>
      <c r="Y52" s="7" t="str">
        <f t="shared" si="9"/>
        <v/>
      </c>
      <c r="Z52" s="6">
        <v>2.0</v>
      </c>
      <c r="AA52" s="7" t="str">
        <f t="shared" si="10"/>
        <v/>
      </c>
      <c r="AB52" s="6">
        <v>1.0</v>
      </c>
      <c r="AC52" s="7" t="str">
        <f t="shared" si="11"/>
        <v/>
      </c>
      <c r="AD52" s="6" t="s">
        <v>36</v>
      </c>
      <c r="AE52" s="7" t="str">
        <f t="shared" si="12"/>
        <v/>
      </c>
      <c r="AF52" s="6">
        <v>1.0</v>
      </c>
      <c r="AG52" s="7" t="str">
        <f t="shared" si="13"/>
        <v/>
      </c>
      <c r="AH52" s="6">
        <v>1.0</v>
      </c>
      <c r="AI52" s="7" t="str">
        <f t="shared" si="14"/>
        <v/>
      </c>
      <c r="AJ52" s="6" t="s">
        <v>36</v>
      </c>
      <c r="AK52" s="7" t="str">
        <f t="shared" si="15"/>
        <v/>
      </c>
      <c r="AL52" s="6">
        <v>1.0</v>
      </c>
      <c r="AM52" s="7" t="str">
        <f t="shared" si="16"/>
        <v/>
      </c>
      <c r="AN52" s="6">
        <v>1.0</v>
      </c>
      <c r="AO52" s="7" t="str">
        <f t="shared" si="17"/>
        <v/>
      </c>
      <c r="AP52" s="6">
        <v>1.0</v>
      </c>
      <c r="AQ52" s="7" t="str">
        <f t="shared" si="18"/>
        <v/>
      </c>
      <c r="AR52" s="6">
        <v>1.0</v>
      </c>
      <c r="AS52" s="7" t="str">
        <f t="shared" si="19"/>
        <v/>
      </c>
      <c r="AT52" s="6">
        <v>1.0</v>
      </c>
      <c r="AU52" s="7" t="str">
        <f t="shared" si="20"/>
        <v/>
      </c>
      <c r="AV52" s="6">
        <v>1.0</v>
      </c>
      <c r="AW52" s="7" t="str">
        <f t="shared" si="21"/>
        <v/>
      </c>
    </row>
    <row r="53" ht="18.0" customHeight="1">
      <c r="A53" s="3">
        <v>51.0</v>
      </c>
      <c r="B53" s="3" t="s">
        <v>120</v>
      </c>
      <c r="C53" s="3" t="s">
        <v>53</v>
      </c>
      <c r="D53" s="1" t="s">
        <v>54</v>
      </c>
      <c r="E53" s="4" t="s">
        <v>56</v>
      </c>
      <c r="F53" s="4" t="s">
        <v>57</v>
      </c>
      <c r="G53" s="8"/>
      <c r="H53" s="6">
        <v>1.0</v>
      </c>
      <c r="I53" s="7" t="str">
        <f t="shared" si="1"/>
        <v/>
      </c>
      <c r="J53" s="6">
        <v>1.0</v>
      </c>
      <c r="K53" s="7" t="str">
        <f t="shared" si="2"/>
        <v/>
      </c>
      <c r="L53" s="6">
        <v>1.0</v>
      </c>
      <c r="M53" s="7" t="str">
        <f t="shared" si="3"/>
        <v/>
      </c>
      <c r="N53" s="6">
        <v>1.0</v>
      </c>
      <c r="O53" s="7" t="str">
        <f t="shared" si="4"/>
        <v/>
      </c>
      <c r="P53" s="6">
        <v>1.0</v>
      </c>
      <c r="Q53" s="7" t="str">
        <f t="shared" si="5"/>
        <v/>
      </c>
      <c r="R53" s="6">
        <v>1.0</v>
      </c>
      <c r="S53" s="7" t="str">
        <f t="shared" si="6"/>
        <v/>
      </c>
      <c r="T53" s="6">
        <v>1.0</v>
      </c>
      <c r="U53" s="7" t="str">
        <f t="shared" si="7"/>
        <v/>
      </c>
      <c r="V53" s="6">
        <v>1.0</v>
      </c>
      <c r="W53" s="7" t="str">
        <f t="shared" si="8"/>
        <v/>
      </c>
      <c r="X53" s="6">
        <v>1.0</v>
      </c>
      <c r="Y53" s="7" t="str">
        <f t="shared" si="9"/>
        <v/>
      </c>
      <c r="Z53" s="6">
        <v>1.0</v>
      </c>
      <c r="AA53" s="7" t="str">
        <f t="shared" si="10"/>
        <v/>
      </c>
      <c r="AB53" s="6">
        <v>1.0</v>
      </c>
      <c r="AC53" s="7" t="str">
        <f t="shared" si="11"/>
        <v/>
      </c>
      <c r="AD53" s="6" t="s">
        <v>36</v>
      </c>
      <c r="AE53" s="7" t="str">
        <f t="shared" si="12"/>
        <v/>
      </c>
      <c r="AF53" s="6">
        <v>1.0</v>
      </c>
      <c r="AG53" s="7" t="str">
        <f t="shared" si="13"/>
        <v/>
      </c>
      <c r="AH53" s="6">
        <v>1.0</v>
      </c>
      <c r="AI53" s="7" t="str">
        <f t="shared" si="14"/>
        <v/>
      </c>
      <c r="AJ53" s="6">
        <v>1.0</v>
      </c>
      <c r="AK53" s="7" t="str">
        <f t="shared" si="15"/>
        <v/>
      </c>
      <c r="AL53" s="6">
        <v>1.0</v>
      </c>
      <c r="AM53" s="7" t="str">
        <f t="shared" si="16"/>
        <v/>
      </c>
      <c r="AN53" s="6">
        <v>1.0</v>
      </c>
      <c r="AO53" s="7" t="str">
        <f t="shared" si="17"/>
        <v/>
      </c>
      <c r="AP53" s="6">
        <v>1.0</v>
      </c>
      <c r="AQ53" s="7" t="str">
        <f t="shared" si="18"/>
        <v/>
      </c>
      <c r="AR53" s="6">
        <v>2.0</v>
      </c>
      <c r="AS53" s="7" t="str">
        <f t="shared" si="19"/>
        <v/>
      </c>
      <c r="AT53" s="6">
        <v>1.0</v>
      </c>
      <c r="AU53" s="7" t="str">
        <f t="shared" si="20"/>
        <v/>
      </c>
      <c r="AV53" s="6">
        <v>1.0</v>
      </c>
      <c r="AW53" s="7" t="str">
        <f t="shared" si="21"/>
        <v/>
      </c>
    </row>
    <row r="54" ht="18.0" customHeight="1">
      <c r="A54" s="3">
        <v>52.0</v>
      </c>
      <c r="B54" s="3" t="s">
        <v>120</v>
      </c>
      <c r="C54" s="3" t="s">
        <v>53</v>
      </c>
      <c r="D54" s="1" t="s">
        <v>54</v>
      </c>
      <c r="E54" s="4" t="s">
        <v>58</v>
      </c>
      <c r="F54" s="4" t="s">
        <v>55</v>
      </c>
      <c r="G54" s="8"/>
      <c r="H54" s="6">
        <v>2.0</v>
      </c>
      <c r="I54" s="7" t="str">
        <f t="shared" si="1"/>
        <v/>
      </c>
      <c r="J54" s="6">
        <v>2.0</v>
      </c>
      <c r="K54" s="7" t="str">
        <f t="shared" si="2"/>
        <v/>
      </c>
      <c r="L54" s="6">
        <v>2.0</v>
      </c>
      <c r="M54" s="7" t="str">
        <f t="shared" si="3"/>
        <v/>
      </c>
      <c r="N54" s="6">
        <v>2.0</v>
      </c>
      <c r="O54" s="7" t="str">
        <f t="shared" si="4"/>
        <v/>
      </c>
      <c r="P54" s="6">
        <v>2.0</v>
      </c>
      <c r="Q54" s="7" t="str">
        <f t="shared" si="5"/>
        <v/>
      </c>
      <c r="R54" s="6">
        <v>1.0</v>
      </c>
      <c r="S54" s="7" t="str">
        <f t="shared" si="6"/>
        <v/>
      </c>
      <c r="T54" s="6">
        <v>2.0</v>
      </c>
      <c r="U54" s="7" t="str">
        <f t="shared" si="7"/>
        <v/>
      </c>
      <c r="V54" s="6">
        <v>2.0</v>
      </c>
      <c r="W54" s="7" t="str">
        <f t="shared" si="8"/>
        <v/>
      </c>
      <c r="X54" s="6">
        <v>2.0</v>
      </c>
      <c r="Y54" s="7" t="str">
        <f t="shared" si="9"/>
        <v/>
      </c>
      <c r="Z54" s="6">
        <v>2.0</v>
      </c>
      <c r="AA54" s="7" t="str">
        <f t="shared" si="10"/>
        <v/>
      </c>
      <c r="AB54" s="6">
        <v>2.0</v>
      </c>
      <c r="AC54" s="7" t="str">
        <f t="shared" si="11"/>
        <v/>
      </c>
      <c r="AD54" s="6">
        <v>2.0</v>
      </c>
      <c r="AE54" s="7" t="str">
        <f t="shared" si="12"/>
        <v/>
      </c>
      <c r="AF54" s="6" t="s">
        <v>49</v>
      </c>
      <c r="AG54" s="7" t="str">
        <f t="shared" si="13"/>
        <v/>
      </c>
      <c r="AH54" s="6">
        <v>1.0</v>
      </c>
      <c r="AI54" s="7" t="str">
        <f t="shared" si="14"/>
        <v/>
      </c>
      <c r="AJ54" s="6">
        <v>2.0</v>
      </c>
      <c r="AK54" s="7" t="str">
        <f t="shared" si="15"/>
        <v/>
      </c>
      <c r="AL54" s="6" t="s">
        <v>36</v>
      </c>
      <c r="AM54" s="7" t="str">
        <f t="shared" si="16"/>
        <v/>
      </c>
      <c r="AN54" s="6">
        <v>2.0</v>
      </c>
      <c r="AO54" s="7" t="str">
        <f t="shared" si="17"/>
        <v/>
      </c>
      <c r="AP54" s="6">
        <v>2.0</v>
      </c>
      <c r="AQ54" s="7" t="str">
        <f t="shared" si="18"/>
        <v/>
      </c>
      <c r="AR54" s="6">
        <v>2.0</v>
      </c>
      <c r="AS54" s="7" t="str">
        <f t="shared" si="19"/>
        <v/>
      </c>
      <c r="AT54" s="6">
        <v>2.0</v>
      </c>
      <c r="AU54" s="7" t="str">
        <f t="shared" si="20"/>
        <v/>
      </c>
      <c r="AV54" s="6">
        <v>2.0</v>
      </c>
      <c r="AW54" s="7" t="str">
        <f t="shared" si="21"/>
        <v/>
      </c>
    </row>
    <row r="55" ht="18.0" customHeight="1">
      <c r="A55" s="3">
        <v>53.0</v>
      </c>
      <c r="B55" s="3" t="s">
        <v>120</v>
      </c>
      <c r="C55" s="3" t="s">
        <v>45</v>
      </c>
      <c r="D55" s="1" t="s">
        <v>33</v>
      </c>
      <c r="E55" s="4" t="s">
        <v>40</v>
      </c>
      <c r="F55" s="4" t="s">
        <v>34</v>
      </c>
      <c r="G55" s="8"/>
      <c r="H55" s="6" t="s">
        <v>36</v>
      </c>
      <c r="I55" s="7" t="str">
        <f t="shared" si="1"/>
        <v/>
      </c>
      <c r="J55" s="6">
        <v>2.0</v>
      </c>
      <c r="K55" s="7" t="str">
        <f t="shared" si="2"/>
        <v/>
      </c>
      <c r="L55" s="6">
        <v>2.0</v>
      </c>
      <c r="M55" s="7" t="str">
        <f t="shared" si="3"/>
        <v/>
      </c>
      <c r="N55" s="6" t="s">
        <v>36</v>
      </c>
      <c r="O55" s="7" t="str">
        <f t="shared" si="4"/>
        <v/>
      </c>
      <c r="P55" s="6" t="s">
        <v>36</v>
      </c>
      <c r="Q55" s="7" t="str">
        <f t="shared" si="5"/>
        <v/>
      </c>
      <c r="R55" s="6" t="s">
        <v>36</v>
      </c>
      <c r="S55" s="7" t="str">
        <f t="shared" si="6"/>
        <v/>
      </c>
      <c r="T55" s="6" t="s">
        <v>36</v>
      </c>
      <c r="U55" s="7" t="str">
        <f t="shared" si="7"/>
        <v/>
      </c>
      <c r="V55" s="6">
        <v>2.0</v>
      </c>
      <c r="W55" s="7" t="str">
        <f t="shared" si="8"/>
        <v/>
      </c>
      <c r="X55" s="6">
        <v>2.0</v>
      </c>
      <c r="Y55" s="7" t="str">
        <f t="shared" si="9"/>
        <v/>
      </c>
      <c r="Z55" s="6">
        <v>2.0</v>
      </c>
      <c r="AA55" s="7" t="str">
        <f t="shared" si="10"/>
        <v/>
      </c>
      <c r="AB55" s="6">
        <v>2.0</v>
      </c>
      <c r="AC55" s="7" t="str">
        <f t="shared" si="11"/>
        <v/>
      </c>
      <c r="AD55" s="6" t="s">
        <v>36</v>
      </c>
      <c r="AE55" s="7" t="str">
        <f t="shared" si="12"/>
        <v/>
      </c>
      <c r="AF55" s="6" t="s">
        <v>49</v>
      </c>
      <c r="AG55" s="7" t="str">
        <f t="shared" si="13"/>
        <v/>
      </c>
      <c r="AH55" s="6" t="s">
        <v>36</v>
      </c>
      <c r="AI55" s="7" t="str">
        <f t="shared" si="14"/>
        <v/>
      </c>
      <c r="AJ55" s="6">
        <v>2.0</v>
      </c>
      <c r="AK55" s="7" t="str">
        <f t="shared" si="15"/>
        <v/>
      </c>
      <c r="AL55" s="6" t="s">
        <v>36</v>
      </c>
      <c r="AM55" s="7" t="str">
        <f t="shared" si="16"/>
        <v/>
      </c>
      <c r="AN55" s="6">
        <v>2.0</v>
      </c>
      <c r="AO55" s="7" t="str">
        <f t="shared" si="17"/>
        <v/>
      </c>
      <c r="AP55" s="6">
        <v>2.0</v>
      </c>
      <c r="AQ55" s="7" t="str">
        <f t="shared" si="18"/>
        <v/>
      </c>
      <c r="AR55" s="6">
        <v>2.0</v>
      </c>
      <c r="AS55" s="7" t="str">
        <f t="shared" si="19"/>
        <v/>
      </c>
      <c r="AT55" s="6">
        <v>2.0</v>
      </c>
      <c r="AU55" s="7" t="str">
        <f t="shared" si="20"/>
        <v/>
      </c>
      <c r="AV55" s="6" t="s">
        <v>36</v>
      </c>
      <c r="AW55" s="7" t="str">
        <f t="shared" si="21"/>
        <v/>
      </c>
    </row>
    <row r="56" ht="18.0" customHeight="1">
      <c r="A56" s="3">
        <v>54.0</v>
      </c>
      <c r="B56" s="3" t="s">
        <v>120</v>
      </c>
      <c r="C56" s="3" t="s">
        <v>45</v>
      </c>
      <c r="D56" s="1" t="s">
        <v>33</v>
      </c>
      <c r="E56" s="4" t="s">
        <v>35</v>
      </c>
      <c r="F56" s="4" t="s">
        <v>39</v>
      </c>
      <c r="G56" s="8"/>
      <c r="H56" s="6">
        <v>2.0</v>
      </c>
      <c r="I56" s="7" t="str">
        <f t="shared" si="1"/>
        <v/>
      </c>
      <c r="J56" s="6" t="s">
        <v>36</v>
      </c>
      <c r="K56" s="7" t="str">
        <f t="shared" si="2"/>
        <v/>
      </c>
      <c r="L56" s="6">
        <v>1.0</v>
      </c>
      <c r="M56" s="7" t="str">
        <f t="shared" si="3"/>
        <v/>
      </c>
      <c r="N56" s="6">
        <v>1.0</v>
      </c>
      <c r="O56" s="7" t="str">
        <f t="shared" si="4"/>
        <v/>
      </c>
      <c r="P56" s="6" t="s">
        <v>36</v>
      </c>
      <c r="Q56" s="7" t="str">
        <f t="shared" si="5"/>
        <v/>
      </c>
      <c r="R56" s="6" t="s">
        <v>36</v>
      </c>
      <c r="S56" s="7" t="str">
        <f t="shared" si="6"/>
        <v/>
      </c>
      <c r="T56" s="6">
        <v>2.0</v>
      </c>
      <c r="U56" s="7" t="str">
        <f t="shared" si="7"/>
        <v/>
      </c>
      <c r="V56" s="6">
        <v>2.0</v>
      </c>
      <c r="W56" s="7" t="str">
        <f t="shared" si="8"/>
        <v/>
      </c>
      <c r="X56" s="6">
        <v>2.0</v>
      </c>
      <c r="Y56" s="7" t="str">
        <f t="shared" si="9"/>
        <v/>
      </c>
      <c r="Z56" s="6">
        <v>1.0</v>
      </c>
      <c r="AA56" s="7" t="str">
        <f t="shared" si="10"/>
        <v/>
      </c>
      <c r="AB56" s="6">
        <v>2.0</v>
      </c>
      <c r="AC56" s="7" t="str">
        <f t="shared" si="11"/>
        <v/>
      </c>
      <c r="AD56" s="6">
        <v>1.0</v>
      </c>
      <c r="AE56" s="7" t="str">
        <f t="shared" si="12"/>
        <v/>
      </c>
      <c r="AF56" s="6">
        <v>1.0</v>
      </c>
      <c r="AG56" s="7" t="str">
        <f t="shared" si="13"/>
        <v/>
      </c>
      <c r="AH56" s="6">
        <v>2.0</v>
      </c>
      <c r="AI56" s="7" t="str">
        <f t="shared" si="14"/>
        <v/>
      </c>
      <c r="AJ56" s="6">
        <v>2.0</v>
      </c>
      <c r="AK56" s="7" t="str">
        <f t="shared" si="15"/>
        <v/>
      </c>
      <c r="AL56" s="6">
        <v>1.0</v>
      </c>
      <c r="AM56" s="7" t="str">
        <f t="shared" si="16"/>
        <v/>
      </c>
      <c r="AN56" s="6">
        <v>2.0</v>
      </c>
      <c r="AO56" s="7" t="str">
        <f t="shared" si="17"/>
        <v/>
      </c>
      <c r="AP56" s="6">
        <v>2.0</v>
      </c>
      <c r="AQ56" s="7" t="str">
        <f t="shared" si="18"/>
        <v/>
      </c>
      <c r="AR56" s="6">
        <v>1.0</v>
      </c>
      <c r="AS56" s="7" t="str">
        <f t="shared" si="19"/>
        <v/>
      </c>
      <c r="AT56" s="6">
        <v>1.0</v>
      </c>
      <c r="AU56" s="7" t="str">
        <f t="shared" si="20"/>
        <v/>
      </c>
      <c r="AV56" s="6" t="s">
        <v>36</v>
      </c>
      <c r="AW56" s="7" t="str">
        <f t="shared" si="21"/>
        <v/>
      </c>
    </row>
    <row r="57" ht="18.0" customHeight="1">
      <c r="A57" s="3">
        <v>55.0</v>
      </c>
      <c r="B57" s="3" t="s">
        <v>120</v>
      </c>
      <c r="C57" s="3" t="s">
        <v>66</v>
      </c>
      <c r="D57" s="1" t="s">
        <v>63</v>
      </c>
      <c r="E57" s="4" t="s">
        <v>65</v>
      </c>
      <c r="F57" s="4" t="s">
        <v>72</v>
      </c>
      <c r="G57" s="8"/>
      <c r="H57" s="6" t="s">
        <v>36</v>
      </c>
      <c r="I57" s="7" t="str">
        <f t="shared" si="1"/>
        <v/>
      </c>
      <c r="J57" s="6">
        <v>2.0</v>
      </c>
      <c r="K57" s="7" t="str">
        <f t="shared" si="2"/>
        <v/>
      </c>
      <c r="L57" s="6" t="s">
        <v>36</v>
      </c>
      <c r="M57" s="7" t="str">
        <f t="shared" si="3"/>
        <v/>
      </c>
      <c r="N57" s="6">
        <v>2.0</v>
      </c>
      <c r="O57" s="7" t="str">
        <f t="shared" si="4"/>
        <v/>
      </c>
      <c r="P57" s="6">
        <v>2.0</v>
      </c>
      <c r="Q57" s="7" t="str">
        <f t="shared" si="5"/>
        <v/>
      </c>
      <c r="R57" s="6">
        <v>2.0</v>
      </c>
      <c r="S57" s="7" t="str">
        <f t="shared" si="6"/>
        <v/>
      </c>
      <c r="T57" s="6">
        <v>2.0</v>
      </c>
      <c r="U57" s="7" t="str">
        <f t="shared" si="7"/>
        <v/>
      </c>
      <c r="V57" s="6">
        <v>2.0</v>
      </c>
      <c r="W57" s="7" t="str">
        <f t="shared" si="8"/>
        <v/>
      </c>
      <c r="X57" s="6">
        <v>2.0</v>
      </c>
      <c r="Y57" s="7" t="str">
        <f t="shared" si="9"/>
        <v/>
      </c>
      <c r="Z57" s="6" t="s">
        <v>36</v>
      </c>
      <c r="AA57" s="7" t="str">
        <f t="shared" si="10"/>
        <v/>
      </c>
      <c r="AB57" s="6" t="s">
        <v>36</v>
      </c>
      <c r="AC57" s="7" t="str">
        <f t="shared" si="11"/>
        <v/>
      </c>
      <c r="AD57" s="6">
        <v>2.0</v>
      </c>
      <c r="AE57" s="7" t="str">
        <f t="shared" si="12"/>
        <v/>
      </c>
      <c r="AF57" s="6">
        <v>2.0</v>
      </c>
      <c r="AG57" s="7" t="str">
        <f t="shared" si="13"/>
        <v/>
      </c>
      <c r="AH57" s="6">
        <v>2.0</v>
      </c>
      <c r="AI57" s="7" t="str">
        <f t="shared" si="14"/>
        <v/>
      </c>
      <c r="AJ57" s="6">
        <v>2.0</v>
      </c>
      <c r="AK57" s="7" t="str">
        <f t="shared" si="15"/>
        <v/>
      </c>
      <c r="AL57" s="6">
        <v>2.0</v>
      </c>
      <c r="AM57" s="7" t="str">
        <f t="shared" si="16"/>
        <v/>
      </c>
      <c r="AN57" s="6">
        <v>2.0</v>
      </c>
      <c r="AO57" s="7" t="str">
        <f t="shared" si="17"/>
        <v/>
      </c>
      <c r="AP57" s="6">
        <v>2.0</v>
      </c>
      <c r="AQ57" s="7" t="str">
        <f t="shared" si="18"/>
        <v/>
      </c>
      <c r="AR57" s="6">
        <v>2.0</v>
      </c>
      <c r="AS57" s="7" t="str">
        <f t="shared" si="19"/>
        <v/>
      </c>
      <c r="AT57" s="6">
        <v>2.0</v>
      </c>
      <c r="AU57" s="7" t="str">
        <f t="shared" si="20"/>
        <v/>
      </c>
      <c r="AV57" s="6">
        <v>2.0</v>
      </c>
      <c r="AW57" s="7" t="str">
        <f t="shared" si="21"/>
        <v/>
      </c>
    </row>
    <row r="58" ht="18.0" customHeight="1">
      <c r="A58" s="3">
        <v>56.0</v>
      </c>
      <c r="B58" s="3" t="s">
        <v>120</v>
      </c>
      <c r="C58" s="3" t="s">
        <v>66</v>
      </c>
      <c r="D58" s="1" t="s">
        <v>63</v>
      </c>
      <c r="E58" s="4" t="s">
        <v>73</v>
      </c>
      <c r="F58" s="4" t="s">
        <v>64</v>
      </c>
      <c r="G58" s="8"/>
      <c r="H58" s="6">
        <v>2.0</v>
      </c>
      <c r="I58" s="7" t="str">
        <f t="shared" si="1"/>
        <v/>
      </c>
      <c r="J58" s="6">
        <v>2.0</v>
      </c>
      <c r="K58" s="7" t="str">
        <f t="shared" si="2"/>
        <v/>
      </c>
      <c r="L58" s="6">
        <v>2.0</v>
      </c>
      <c r="M58" s="7" t="str">
        <f t="shared" si="3"/>
        <v/>
      </c>
      <c r="N58" s="6" t="s">
        <v>36</v>
      </c>
      <c r="O58" s="7" t="str">
        <f t="shared" si="4"/>
        <v/>
      </c>
      <c r="P58" s="6" t="s">
        <v>36</v>
      </c>
      <c r="Q58" s="7" t="str">
        <f t="shared" si="5"/>
        <v/>
      </c>
      <c r="R58" s="6">
        <v>2.0</v>
      </c>
      <c r="S58" s="7" t="str">
        <f t="shared" si="6"/>
        <v/>
      </c>
      <c r="T58" s="6">
        <v>2.0</v>
      </c>
      <c r="U58" s="7" t="str">
        <f t="shared" si="7"/>
        <v/>
      </c>
      <c r="V58" s="6">
        <v>2.0</v>
      </c>
      <c r="W58" s="7" t="str">
        <f t="shared" si="8"/>
        <v/>
      </c>
      <c r="X58" s="6">
        <v>2.0</v>
      </c>
      <c r="Y58" s="7" t="str">
        <f t="shared" si="9"/>
        <v/>
      </c>
      <c r="Z58" s="6">
        <v>2.0</v>
      </c>
      <c r="AA58" s="7" t="str">
        <f t="shared" si="10"/>
        <v/>
      </c>
      <c r="AB58" s="6">
        <v>2.0</v>
      </c>
      <c r="AC58" s="7" t="str">
        <f t="shared" si="11"/>
        <v/>
      </c>
      <c r="AD58" s="6">
        <v>2.0</v>
      </c>
      <c r="AE58" s="7" t="str">
        <f t="shared" si="12"/>
        <v/>
      </c>
      <c r="AF58" s="6">
        <v>2.0</v>
      </c>
      <c r="AG58" s="7" t="str">
        <f t="shared" si="13"/>
        <v/>
      </c>
      <c r="AH58" s="6">
        <v>2.0</v>
      </c>
      <c r="AI58" s="7" t="str">
        <f t="shared" si="14"/>
        <v/>
      </c>
      <c r="AJ58" s="6">
        <v>2.0</v>
      </c>
      <c r="AK58" s="7" t="str">
        <f t="shared" si="15"/>
        <v/>
      </c>
      <c r="AL58" s="6">
        <v>2.0</v>
      </c>
      <c r="AM58" s="7" t="str">
        <f t="shared" si="16"/>
        <v/>
      </c>
      <c r="AN58" s="6">
        <v>2.0</v>
      </c>
      <c r="AO58" s="7" t="str">
        <f t="shared" si="17"/>
        <v/>
      </c>
      <c r="AP58" s="6">
        <v>2.0</v>
      </c>
      <c r="AQ58" s="7" t="str">
        <f t="shared" si="18"/>
        <v/>
      </c>
      <c r="AR58" s="6">
        <v>2.0</v>
      </c>
      <c r="AS58" s="7" t="str">
        <f t="shared" si="19"/>
        <v/>
      </c>
      <c r="AT58" s="6">
        <v>2.0</v>
      </c>
      <c r="AU58" s="7" t="str">
        <f t="shared" si="20"/>
        <v/>
      </c>
      <c r="AV58" s="6">
        <v>2.0</v>
      </c>
      <c r="AW58" s="7" t="str">
        <f t="shared" si="21"/>
        <v/>
      </c>
    </row>
    <row r="59" ht="18.0" customHeight="1">
      <c r="A59" s="3">
        <v>57.0</v>
      </c>
      <c r="B59" s="3" t="s">
        <v>121</v>
      </c>
      <c r="C59" s="3" t="s">
        <v>71</v>
      </c>
      <c r="D59" s="1" t="s">
        <v>67</v>
      </c>
      <c r="E59" s="4" t="s">
        <v>69</v>
      </c>
      <c r="F59" s="4" t="s">
        <v>74</v>
      </c>
      <c r="G59" s="8"/>
      <c r="H59" s="6">
        <v>1.0</v>
      </c>
      <c r="I59" s="7" t="str">
        <f t="shared" si="1"/>
        <v/>
      </c>
      <c r="J59" s="6">
        <v>2.0</v>
      </c>
      <c r="K59" s="7" t="str">
        <f t="shared" si="2"/>
        <v/>
      </c>
      <c r="L59" s="6" t="s">
        <v>36</v>
      </c>
      <c r="M59" s="7" t="str">
        <f t="shared" si="3"/>
        <v/>
      </c>
      <c r="N59" s="6">
        <v>1.0</v>
      </c>
      <c r="O59" s="7" t="str">
        <f t="shared" si="4"/>
        <v/>
      </c>
      <c r="P59" s="6" t="s">
        <v>36</v>
      </c>
      <c r="Q59" s="7" t="str">
        <f t="shared" si="5"/>
        <v/>
      </c>
      <c r="R59" s="6" t="s">
        <v>36</v>
      </c>
      <c r="S59" s="7" t="str">
        <f t="shared" si="6"/>
        <v/>
      </c>
      <c r="T59" s="6" t="s">
        <v>36</v>
      </c>
      <c r="U59" s="7" t="str">
        <f t="shared" si="7"/>
        <v/>
      </c>
      <c r="V59" s="6" t="s">
        <v>36</v>
      </c>
      <c r="W59" s="7" t="str">
        <f t="shared" si="8"/>
        <v/>
      </c>
      <c r="X59" s="6">
        <v>1.0</v>
      </c>
      <c r="Y59" s="7" t="str">
        <f t="shared" si="9"/>
        <v/>
      </c>
      <c r="Z59" s="6">
        <v>2.0</v>
      </c>
      <c r="AA59" s="7" t="str">
        <f t="shared" si="10"/>
        <v/>
      </c>
      <c r="AB59" s="6" t="s">
        <v>36</v>
      </c>
      <c r="AC59" s="7" t="str">
        <f t="shared" si="11"/>
        <v/>
      </c>
      <c r="AD59" s="6" t="s">
        <v>36</v>
      </c>
      <c r="AE59" s="7" t="str">
        <f t="shared" si="12"/>
        <v/>
      </c>
      <c r="AF59" s="6">
        <v>1.0</v>
      </c>
      <c r="AG59" s="7" t="str">
        <f t="shared" si="13"/>
        <v/>
      </c>
      <c r="AH59" s="6">
        <v>1.0</v>
      </c>
      <c r="AI59" s="7" t="str">
        <f t="shared" si="14"/>
        <v/>
      </c>
      <c r="AJ59" s="6" t="s">
        <v>36</v>
      </c>
      <c r="AK59" s="7" t="str">
        <f t="shared" si="15"/>
        <v/>
      </c>
      <c r="AL59" s="6">
        <v>1.0</v>
      </c>
      <c r="AM59" s="7" t="str">
        <f t="shared" si="16"/>
        <v/>
      </c>
      <c r="AN59" s="6">
        <v>2.0</v>
      </c>
      <c r="AO59" s="7" t="str">
        <f t="shared" si="17"/>
        <v/>
      </c>
      <c r="AP59" s="6">
        <v>1.0</v>
      </c>
      <c r="AQ59" s="7" t="str">
        <f t="shared" si="18"/>
        <v/>
      </c>
      <c r="AR59" s="6">
        <v>2.0</v>
      </c>
      <c r="AS59" s="7" t="str">
        <f t="shared" si="19"/>
        <v/>
      </c>
      <c r="AT59" s="6">
        <v>1.0</v>
      </c>
      <c r="AU59" s="7" t="str">
        <f t="shared" si="20"/>
        <v/>
      </c>
      <c r="AV59" s="6">
        <v>2.0</v>
      </c>
      <c r="AW59" s="7" t="str">
        <f t="shared" si="21"/>
        <v/>
      </c>
    </row>
    <row r="60" ht="18.0" customHeight="1">
      <c r="A60" s="3">
        <v>58.0</v>
      </c>
      <c r="B60" s="3" t="s">
        <v>121</v>
      </c>
      <c r="C60" s="3" t="s">
        <v>71</v>
      </c>
      <c r="D60" s="1" t="s">
        <v>67</v>
      </c>
      <c r="E60" s="4" t="s">
        <v>75</v>
      </c>
      <c r="F60" s="4" t="s">
        <v>68</v>
      </c>
      <c r="G60" s="8"/>
      <c r="H60" s="6">
        <v>2.0</v>
      </c>
      <c r="I60" s="7" t="str">
        <f t="shared" si="1"/>
        <v/>
      </c>
      <c r="J60" s="6">
        <v>2.0</v>
      </c>
      <c r="K60" s="7" t="str">
        <f t="shared" si="2"/>
        <v/>
      </c>
      <c r="L60" s="6" t="s">
        <v>36</v>
      </c>
      <c r="M60" s="7" t="str">
        <f t="shared" si="3"/>
        <v/>
      </c>
      <c r="N60" s="6">
        <v>1.0</v>
      </c>
      <c r="O60" s="7" t="str">
        <f t="shared" si="4"/>
        <v/>
      </c>
      <c r="P60" s="6">
        <v>2.0</v>
      </c>
      <c r="Q60" s="7" t="str">
        <f t="shared" si="5"/>
        <v/>
      </c>
      <c r="R60" s="6">
        <v>2.0</v>
      </c>
      <c r="S60" s="7" t="str">
        <f t="shared" si="6"/>
        <v/>
      </c>
      <c r="T60" s="6">
        <v>2.0</v>
      </c>
      <c r="U60" s="7" t="str">
        <f t="shared" si="7"/>
        <v/>
      </c>
      <c r="V60" s="6">
        <v>2.0</v>
      </c>
      <c r="W60" s="7" t="str">
        <f t="shared" si="8"/>
        <v/>
      </c>
      <c r="X60" s="6">
        <v>2.0</v>
      </c>
      <c r="Y60" s="7" t="str">
        <f t="shared" si="9"/>
        <v/>
      </c>
      <c r="Z60" s="6">
        <v>2.0</v>
      </c>
      <c r="AA60" s="7" t="str">
        <f t="shared" si="10"/>
        <v/>
      </c>
      <c r="AB60" s="6">
        <v>2.0</v>
      </c>
      <c r="AC60" s="7" t="str">
        <f t="shared" si="11"/>
        <v/>
      </c>
      <c r="AD60" s="6">
        <v>2.0</v>
      </c>
      <c r="AE60" s="7" t="str">
        <f t="shared" si="12"/>
        <v/>
      </c>
      <c r="AF60" s="6">
        <v>2.0</v>
      </c>
      <c r="AG60" s="7" t="str">
        <f t="shared" si="13"/>
        <v/>
      </c>
      <c r="AH60" s="6" t="s">
        <v>36</v>
      </c>
      <c r="AI60" s="7" t="str">
        <f t="shared" si="14"/>
        <v/>
      </c>
      <c r="AJ60" s="6">
        <v>2.0</v>
      </c>
      <c r="AK60" s="7" t="str">
        <f t="shared" si="15"/>
        <v/>
      </c>
      <c r="AL60" s="6">
        <v>2.0</v>
      </c>
      <c r="AM60" s="7" t="str">
        <f t="shared" si="16"/>
        <v/>
      </c>
      <c r="AN60" s="6">
        <v>2.0</v>
      </c>
      <c r="AO60" s="7" t="str">
        <f t="shared" si="17"/>
        <v/>
      </c>
      <c r="AP60" s="6">
        <v>2.0</v>
      </c>
      <c r="AQ60" s="7" t="str">
        <f t="shared" si="18"/>
        <v/>
      </c>
      <c r="AR60" s="6">
        <v>2.0</v>
      </c>
      <c r="AS60" s="7" t="str">
        <f t="shared" si="19"/>
        <v/>
      </c>
      <c r="AT60" s="6">
        <v>2.0</v>
      </c>
      <c r="AU60" s="7" t="str">
        <f t="shared" si="20"/>
        <v/>
      </c>
      <c r="AV60" s="6">
        <v>2.0</v>
      </c>
      <c r="AW60" s="7" t="str">
        <f t="shared" si="21"/>
        <v/>
      </c>
    </row>
    <row r="61" ht="18.0" customHeight="1">
      <c r="A61" s="3">
        <v>59.0</v>
      </c>
      <c r="B61" s="3" t="s">
        <v>121</v>
      </c>
      <c r="C61" s="3" t="s">
        <v>38</v>
      </c>
      <c r="D61" s="1" t="s">
        <v>46</v>
      </c>
      <c r="E61" s="4" t="s">
        <v>61</v>
      </c>
      <c r="F61" s="4" t="s">
        <v>47</v>
      </c>
      <c r="G61" s="8"/>
      <c r="H61" s="6">
        <v>1.0</v>
      </c>
      <c r="I61" s="7" t="str">
        <f t="shared" si="1"/>
        <v/>
      </c>
      <c r="J61" s="6">
        <v>1.0</v>
      </c>
      <c r="K61" s="7" t="str">
        <f t="shared" si="2"/>
        <v/>
      </c>
      <c r="L61" s="6">
        <v>2.0</v>
      </c>
      <c r="M61" s="7" t="str">
        <f t="shared" si="3"/>
        <v/>
      </c>
      <c r="N61" s="6">
        <v>2.0</v>
      </c>
      <c r="O61" s="7" t="str">
        <f t="shared" si="4"/>
        <v/>
      </c>
      <c r="P61" s="6">
        <v>1.0</v>
      </c>
      <c r="Q61" s="7" t="str">
        <f t="shared" si="5"/>
        <v/>
      </c>
      <c r="R61" s="6" t="s">
        <v>36</v>
      </c>
      <c r="S61" s="7" t="str">
        <f t="shared" si="6"/>
        <v/>
      </c>
      <c r="T61" s="6">
        <v>1.0</v>
      </c>
      <c r="U61" s="7" t="str">
        <f t="shared" si="7"/>
        <v/>
      </c>
      <c r="V61" s="6">
        <v>1.0</v>
      </c>
      <c r="W61" s="7" t="str">
        <f t="shared" si="8"/>
        <v/>
      </c>
      <c r="X61" s="6">
        <v>1.0</v>
      </c>
      <c r="Y61" s="7" t="str">
        <f t="shared" si="9"/>
        <v/>
      </c>
      <c r="Z61" s="6">
        <v>2.0</v>
      </c>
      <c r="AA61" s="7" t="str">
        <f t="shared" si="10"/>
        <v/>
      </c>
      <c r="AB61" s="6">
        <v>1.0</v>
      </c>
      <c r="AC61" s="7" t="str">
        <f t="shared" si="11"/>
        <v/>
      </c>
      <c r="AD61" s="6">
        <v>2.0</v>
      </c>
      <c r="AE61" s="7" t="str">
        <f t="shared" si="12"/>
        <v/>
      </c>
      <c r="AF61" s="6">
        <v>1.0</v>
      </c>
      <c r="AG61" s="7" t="str">
        <f t="shared" si="13"/>
        <v/>
      </c>
      <c r="AH61" s="6">
        <v>1.0</v>
      </c>
      <c r="AI61" s="7" t="str">
        <f t="shared" si="14"/>
        <v/>
      </c>
      <c r="AJ61" s="6">
        <v>2.0</v>
      </c>
      <c r="AK61" s="7" t="str">
        <f t="shared" si="15"/>
        <v/>
      </c>
      <c r="AL61" s="6">
        <v>1.0</v>
      </c>
      <c r="AM61" s="7" t="str">
        <f t="shared" si="16"/>
        <v/>
      </c>
      <c r="AN61" s="6">
        <v>1.0</v>
      </c>
      <c r="AO61" s="7" t="str">
        <f t="shared" si="17"/>
        <v/>
      </c>
      <c r="AP61" s="6">
        <v>2.0</v>
      </c>
      <c r="AQ61" s="7" t="str">
        <f t="shared" si="18"/>
        <v/>
      </c>
      <c r="AR61" s="6">
        <v>2.0</v>
      </c>
      <c r="AS61" s="7" t="str">
        <f t="shared" si="19"/>
        <v/>
      </c>
      <c r="AT61" s="6" t="s">
        <v>36</v>
      </c>
      <c r="AU61" s="7" t="str">
        <f t="shared" si="20"/>
        <v/>
      </c>
      <c r="AV61" s="6">
        <v>1.0</v>
      </c>
      <c r="AW61" s="7" t="str">
        <f t="shared" si="21"/>
        <v/>
      </c>
    </row>
    <row r="62" ht="18.0" customHeight="1">
      <c r="A62" s="3">
        <v>60.0</v>
      </c>
      <c r="B62" s="3" t="s">
        <v>121</v>
      </c>
      <c r="C62" s="3" t="s">
        <v>38</v>
      </c>
      <c r="D62" s="1" t="s">
        <v>46</v>
      </c>
      <c r="E62" s="4" t="s">
        <v>48</v>
      </c>
      <c r="F62" s="4" t="s">
        <v>60</v>
      </c>
      <c r="G62" s="8"/>
      <c r="H62" s="6" t="s">
        <v>36</v>
      </c>
      <c r="I62" s="7" t="str">
        <f t="shared" si="1"/>
        <v/>
      </c>
      <c r="J62" s="6" t="s">
        <v>36</v>
      </c>
      <c r="K62" s="7" t="str">
        <f t="shared" si="2"/>
        <v/>
      </c>
      <c r="L62" s="6">
        <v>2.0</v>
      </c>
      <c r="M62" s="7" t="str">
        <f t="shared" si="3"/>
        <v/>
      </c>
      <c r="N62" s="6" t="s">
        <v>36</v>
      </c>
      <c r="O62" s="7" t="str">
        <f t="shared" si="4"/>
        <v/>
      </c>
      <c r="P62" s="6">
        <v>1.0</v>
      </c>
      <c r="Q62" s="7" t="str">
        <f t="shared" si="5"/>
        <v/>
      </c>
      <c r="R62" s="6" t="s">
        <v>36</v>
      </c>
      <c r="S62" s="7" t="str">
        <f t="shared" si="6"/>
        <v/>
      </c>
      <c r="T62" s="6">
        <v>1.0</v>
      </c>
      <c r="U62" s="7" t="str">
        <f t="shared" si="7"/>
        <v/>
      </c>
      <c r="V62" s="6" t="s">
        <v>36</v>
      </c>
      <c r="W62" s="7" t="str">
        <f t="shared" si="8"/>
        <v/>
      </c>
      <c r="X62" s="6">
        <v>1.0</v>
      </c>
      <c r="Y62" s="7" t="str">
        <f t="shared" si="9"/>
        <v/>
      </c>
      <c r="Z62" s="6">
        <v>1.0</v>
      </c>
      <c r="AA62" s="7" t="str">
        <f t="shared" si="10"/>
        <v/>
      </c>
      <c r="AB62" s="6" t="s">
        <v>36</v>
      </c>
      <c r="AC62" s="7" t="str">
        <f t="shared" si="11"/>
        <v/>
      </c>
      <c r="AD62" s="6" t="s">
        <v>36</v>
      </c>
      <c r="AE62" s="7" t="str">
        <f t="shared" si="12"/>
        <v/>
      </c>
      <c r="AF62" s="6" t="s">
        <v>49</v>
      </c>
      <c r="AG62" s="7" t="str">
        <f t="shared" si="13"/>
        <v/>
      </c>
      <c r="AH62" s="6">
        <v>1.0</v>
      </c>
      <c r="AI62" s="7" t="str">
        <f t="shared" si="14"/>
        <v/>
      </c>
      <c r="AJ62" s="6">
        <v>1.0</v>
      </c>
      <c r="AK62" s="7" t="str">
        <f t="shared" si="15"/>
        <v/>
      </c>
      <c r="AL62" s="6">
        <v>1.0</v>
      </c>
      <c r="AM62" s="7" t="str">
        <f t="shared" si="16"/>
        <v/>
      </c>
      <c r="AN62" s="6">
        <v>1.0</v>
      </c>
      <c r="AO62" s="7" t="str">
        <f t="shared" si="17"/>
        <v/>
      </c>
      <c r="AP62" s="6">
        <v>1.0</v>
      </c>
      <c r="AQ62" s="7" t="str">
        <f t="shared" si="18"/>
        <v/>
      </c>
      <c r="AR62" s="6">
        <v>2.0</v>
      </c>
      <c r="AS62" s="7" t="str">
        <f t="shared" si="19"/>
        <v/>
      </c>
      <c r="AT62" s="6" t="s">
        <v>36</v>
      </c>
      <c r="AU62" s="7" t="str">
        <f t="shared" si="20"/>
        <v/>
      </c>
      <c r="AV62" s="6">
        <v>1.0</v>
      </c>
      <c r="AW62" s="7" t="str">
        <f t="shared" si="21"/>
        <v/>
      </c>
    </row>
    <row r="63" ht="18.0" customHeight="1">
      <c r="A63" s="3">
        <v>61.0</v>
      </c>
      <c r="B63" s="3" t="s">
        <v>121</v>
      </c>
      <c r="C63" s="3" t="s">
        <v>62</v>
      </c>
      <c r="D63" s="1" t="s">
        <v>77</v>
      </c>
      <c r="E63" s="4" t="s">
        <v>79</v>
      </c>
      <c r="F63" s="4" t="s">
        <v>84</v>
      </c>
      <c r="G63" s="8"/>
      <c r="H63" s="6">
        <v>2.0</v>
      </c>
      <c r="I63" s="7" t="str">
        <f t="shared" si="1"/>
        <v/>
      </c>
      <c r="J63" s="6">
        <v>2.0</v>
      </c>
      <c r="K63" s="7" t="str">
        <f t="shared" si="2"/>
        <v/>
      </c>
      <c r="L63" s="6">
        <v>1.0</v>
      </c>
      <c r="M63" s="7" t="str">
        <f t="shared" si="3"/>
        <v/>
      </c>
      <c r="N63" s="6" t="s">
        <v>36</v>
      </c>
      <c r="O63" s="7" t="str">
        <f t="shared" si="4"/>
        <v/>
      </c>
      <c r="P63" s="6">
        <v>1.0</v>
      </c>
      <c r="Q63" s="7" t="str">
        <f t="shared" si="5"/>
        <v/>
      </c>
      <c r="R63" s="6" t="s">
        <v>36</v>
      </c>
      <c r="S63" s="7" t="str">
        <f t="shared" si="6"/>
        <v/>
      </c>
      <c r="T63" s="6" t="s">
        <v>36</v>
      </c>
      <c r="U63" s="7" t="str">
        <f t="shared" si="7"/>
        <v/>
      </c>
      <c r="V63" s="6">
        <v>2.0</v>
      </c>
      <c r="W63" s="7" t="str">
        <f t="shared" si="8"/>
        <v/>
      </c>
      <c r="X63" s="6">
        <v>2.0</v>
      </c>
      <c r="Y63" s="7" t="str">
        <f t="shared" si="9"/>
        <v/>
      </c>
      <c r="Z63" s="6">
        <v>2.0</v>
      </c>
      <c r="AA63" s="7" t="str">
        <f t="shared" si="10"/>
        <v/>
      </c>
      <c r="AB63" s="6">
        <v>2.0</v>
      </c>
      <c r="AC63" s="7" t="str">
        <f t="shared" si="11"/>
        <v/>
      </c>
      <c r="AD63" s="6">
        <v>1.0</v>
      </c>
      <c r="AE63" s="7" t="str">
        <f t="shared" si="12"/>
        <v/>
      </c>
      <c r="AF63" s="6">
        <v>1.0</v>
      </c>
      <c r="AG63" s="7" t="str">
        <f t="shared" si="13"/>
        <v/>
      </c>
      <c r="AH63" s="6" t="s">
        <v>36</v>
      </c>
      <c r="AI63" s="7" t="str">
        <f t="shared" si="14"/>
        <v/>
      </c>
      <c r="AJ63" s="6">
        <v>2.0</v>
      </c>
      <c r="AK63" s="7" t="str">
        <f t="shared" si="15"/>
        <v/>
      </c>
      <c r="AL63" s="6">
        <v>2.0</v>
      </c>
      <c r="AM63" s="7" t="str">
        <f t="shared" si="16"/>
        <v/>
      </c>
      <c r="AN63" s="6">
        <v>2.0</v>
      </c>
      <c r="AO63" s="7" t="str">
        <f t="shared" si="17"/>
        <v/>
      </c>
      <c r="AP63" s="6">
        <v>2.0</v>
      </c>
      <c r="AQ63" s="7" t="str">
        <f t="shared" si="18"/>
        <v/>
      </c>
      <c r="AR63" s="6">
        <v>1.0</v>
      </c>
      <c r="AS63" s="7" t="str">
        <f t="shared" si="19"/>
        <v/>
      </c>
      <c r="AT63" s="6">
        <v>2.0</v>
      </c>
      <c r="AU63" s="7" t="str">
        <f t="shared" si="20"/>
        <v/>
      </c>
      <c r="AV63" s="6">
        <v>2.0</v>
      </c>
      <c r="AW63" s="7" t="str">
        <f t="shared" si="21"/>
        <v/>
      </c>
    </row>
    <row r="64" ht="18.0" customHeight="1">
      <c r="A64" s="3">
        <v>62.0</v>
      </c>
      <c r="B64" s="3" t="s">
        <v>121</v>
      </c>
      <c r="C64" s="3" t="s">
        <v>62</v>
      </c>
      <c r="D64" s="1" t="s">
        <v>77</v>
      </c>
      <c r="E64" s="4" t="s">
        <v>85</v>
      </c>
      <c r="F64" s="4" t="s">
        <v>78</v>
      </c>
      <c r="G64" s="8"/>
      <c r="H64" s="6">
        <v>2.0</v>
      </c>
      <c r="I64" s="7" t="str">
        <f t="shared" si="1"/>
        <v/>
      </c>
      <c r="J64" s="6">
        <v>2.0</v>
      </c>
      <c r="K64" s="7" t="str">
        <f t="shared" si="2"/>
        <v/>
      </c>
      <c r="L64" s="6">
        <v>2.0</v>
      </c>
      <c r="M64" s="7" t="str">
        <f t="shared" si="3"/>
        <v/>
      </c>
      <c r="N64" s="6">
        <v>2.0</v>
      </c>
      <c r="O64" s="7" t="str">
        <f t="shared" si="4"/>
        <v/>
      </c>
      <c r="P64" s="6" t="s">
        <v>36</v>
      </c>
      <c r="Q64" s="7" t="str">
        <f t="shared" si="5"/>
        <v/>
      </c>
      <c r="R64" s="6">
        <v>2.0</v>
      </c>
      <c r="S64" s="7" t="str">
        <f t="shared" si="6"/>
        <v/>
      </c>
      <c r="T64" s="6">
        <v>2.0</v>
      </c>
      <c r="U64" s="7" t="str">
        <f t="shared" si="7"/>
        <v/>
      </c>
      <c r="V64" s="6">
        <v>2.0</v>
      </c>
      <c r="W64" s="7" t="str">
        <f t="shared" si="8"/>
        <v/>
      </c>
      <c r="X64" s="6">
        <v>2.0</v>
      </c>
      <c r="Y64" s="7" t="str">
        <f t="shared" si="9"/>
        <v/>
      </c>
      <c r="Z64" s="6">
        <v>2.0</v>
      </c>
      <c r="AA64" s="7" t="str">
        <f t="shared" si="10"/>
        <v/>
      </c>
      <c r="AB64" s="6" t="s">
        <v>36</v>
      </c>
      <c r="AC64" s="7" t="str">
        <f t="shared" si="11"/>
        <v/>
      </c>
      <c r="AD64" s="6">
        <v>2.0</v>
      </c>
      <c r="AE64" s="7" t="str">
        <f t="shared" si="12"/>
        <v/>
      </c>
      <c r="AF64" s="6">
        <v>2.0</v>
      </c>
      <c r="AG64" s="7" t="str">
        <f t="shared" si="13"/>
        <v/>
      </c>
      <c r="AH64" s="6">
        <v>2.0</v>
      </c>
      <c r="AI64" s="7" t="str">
        <f t="shared" si="14"/>
        <v/>
      </c>
      <c r="AJ64" s="6" t="s">
        <v>36</v>
      </c>
      <c r="AK64" s="7" t="str">
        <f t="shared" si="15"/>
        <v/>
      </c>
      <c r="AL64" s="6" t="s">
        <v>36</v>
      </c>
      <c r="AM64" s="7" t="str">
        <f t="shared" si="16"/>
        <v/>
      </c>
      <c r="AN64" s="6">
        <v>2.0</v>
      </c>
      <c r="AO64" s="7" t="str">
        <f t="shared" si="17"/>
        <v/>
      </c>
      <c r="AP64" s="6">
        <v>2.0</v>
      </c>
      <c r="AQ64" s="7" t="str">
        <f t="shared" si="18"/>
        <v/>
      </c>
      <c r="AR64" s="6">
        <v>2.0</v>
      </c>
      <c r="AS64" s="7" t="str">
        <f t="shared" si="19"/>
        <v/>
      </c>
      <c r="AT64" s="6">
        <v>2.0</v>
      </c>
      <c r="AU64" s="7" t="str">
        <f t="shared" si="20"/>
        <v/>
      </c>
      <c r="AV64" s="6">
        <v>2.0</v>
      </c>
      <c r="AW64" s="7" t="str">
        <f t="shared" si="21"/>
        <v/>
      </c>
    </row>
    <row r="65" ht="18.0" customHeight="1">
      <c r="A65" s="3">
        <v>63.0</v>
      </c>
      <c r="B65" s="3" t="s">
        <v>122</v>
      </c>
      <c r="C65" s="3" t="s">
        <v>53</v>
      </c>
      <c r="D65" s="1" t="s">
        <v>80</v>
      </c>
      <c r="E65" s="4" t="s">
        <v>82</v>
      </c>
      <c r="F65" s="4" t="s">
        <v>86</v>
      </c>
      <c r="G65" s="8"/>
      <c r="H65" s="6">
        <v>1.0</v>
      </c>
      <c r="I65" s="7" t="str">
        <f t="shared" si="1"/>
        <v/>
      </c>
      <c r="J65" s="6">
        <v>1.0</v>
      </c>
      <c r="K65" s="7" t="str">
        <f t="shared" si="2"/>
        <v/>
      </c>
      <c r="L65" s="6" t="s">
        <v>36</v>
      </c>
      <c r="M65" s="7" t="str">
        <f t="shared" si="3"/>
        <v/>
      </c>
      <c r="N65" s="6">
        <v>1.0</v>
      </c>
      <c r="O65" s="7" t="str">
        <f t="shared" si="4"/>
        <v/>
      </c>
      <c r="P65" s="6">
        <v>1.0</v>
      </c>
      <c r="Q65" s="7" t="str">
        <f t="shared" si="5"/>
        <v/>
      </c>
      <c r="R65" s="6">
        <v>1.0</v>
      </c>
      <c r="S65" s="7" t="str">
        <f t="shared" si="6"/>
        <v/>
      </c>
      <c r="T65" s="6">
        <v>1.0</v>
      </c>
      <c r="U65" s="7" t="str">
        <f t="shared" si="7"/>
        <v/>
      </c>
      <c r="V65" s="6">
        <v>2.0</v>
      </c>
      <c r="W65" s="7" t="str">
        <f t="shared" si="8"/>
        <v/>
      </c>
      <c r="X65" s="6" t="s">
        <v>36</v>
      </c>
      <c r="Y65" s="7" t="str">
        <f t="shared" si="9"/>
        <v/>
      </c>
      <c r="Z65" s="6" t="s">
        <v>36</v>
      </c>
      <c r="AA65" s="7" t="str">
        <f t="shared" si="10"/>
        <v/>
      </c>
      <c r="AB65" s="6" t="s">
        <v>36</v>
      </c>
      <c r="AC65" s="7" t="str">
        <f t="shared" si="11"/>
        <v/>
      </c>
      <c r="AD65" s="6" t="s">
        <v>36</v>
      </c>
      <c r="AE65" s="7" t="str">
        <f t="shared" si="12"/>
        <v/>
      </c>
      <c r="AF65" s="6">
        <v>1.0</v>
      </c>
      <c r="AG65" s="7" t="str">
        <f t="shared" si="13"/>
        <v/>
      </c>
      <c r="AH65" s="6" t="s">
        <v>36</v>
      </c>
      <c r="AI65" s="7" t="str">
        <f t="shared" si="14"/>
        <v/>
      </c>
      <c r="AJ65" s="6">
        <v>1.0</v>
      </c>
      <c r="AK65" s="7" t="str">
        <f t="shared" si="15"/>
        <v/>
      </c>
      <c r="AL65" s="6">
        <v>1.0</v>
      </c>
      <c r="AM65" s="7" t="str">
        <f t="shared" si="16"/>
        <v/>
      </c>
      <c r="AN65" s="6">
        <v>1.0</v>
      </c>
      <c r="AO65" s="7" t="str">
        <f t="shared" si="17"/>
        <v/>
      </c>
      <c r="AP65" s="6">
        <v>2.0</v>
      </c>
      <c r="AQ65" s="7" t="str">
        <f t="shared" si="18"/>
        <v/>
      </c>
      <c r="AR65" s="6">
        <v>1.0</v>
      </c>
      <c r="AS65" s="7" t="str">
        <f t="shared" si="19"/>
        <v/>
      </c>
      <c r="AT65" s="6">
        <v>1.0</v>
      </c>
      <c r="AU65" s="7" t="str">
        <f t="shared" si="20"/>
        <v/>
      </c>
      <c r="AV65" s="6" t="s">
        <v>36</v>
      </c>
      <c r="AW65" s="7" t="str">
        <f t="shared" si="21"/>
        <v/>
      </c>
    </row>
    <row r="66" ht="18.0" customHeight="1">
      <c r="A66" s="3">
        <v>64.0</v>
      </c>
      <c r="B66" s="3" t="s">
        <v>122</v>
      </c>
      <c r="C66" s="3" t="s">
        <v>53</v>
      </c>
      <c r="D66" s="1" t="s">
        <v>80</v>
      </c>
      <c r="E66" s="4" t="s">
        <v>87</v>
      </c>
      <c r="F66" s="4" t="s">
        <v>81</v>
      </c>
      <c r="G66" s="8"/>
      <c r="H66" s="6">
        <v>2.0</v>
      </c>
      <c r="I66" s="7" t="str">
        <f t="shared" si="1"/>
        <v/>
      </c>
      <c r="J66" s="6">
        <v>2.0</v>
      </c>
      <c r="K66" s="7" t="str">
        <f t="shared" si="2"/>
        <v/>
      </c>
      <c r="L66" s="6">
        <v>1.0</v>
      </c>
      <c r="M66" s="7" t="str">
        <f t="shared" si="3"/>
        <v/>
      </c>
      <c r="N66" s="6">
        <v>2.0</v>
      </c>
      <c r="O66" s="7" t="str">
        <f t="shared" si="4"/>
        <v/>
      </c>
      <c r="P66" s="6" t="s">
        <v>36</v>
      </c>
      <c r="Q66" s="7" t="str">
        <f t="shared" si="5"/>
        <v/>
      </c>
      <c r="R66" s="6">
        <v>2.0</v>
      </c>
      <c r="S66" s="7" t="str">
        <f t="shared" si="6"/>
        <v/>
      </c>
      <c r="T66" s="6">
        <v>2.0</v>
      </c>
      <c r="U66" s="7" t="str">
        <f t="shared" si="7"/>
        <v/>
      </c>
      <c r="V66" s="6">
        <v>2.0</v>
      </c>
      <c r="W66" s="7" t="str">
        <f t="shared" si="8"/>
        <v/>
      </c>
      <c r="X66" s="6">
        <v>2.0</v>
      </c>
      <c r="Y66" s="7" t="str">
        <f t="shared" si="9"/>
        <v/>
      </c>
      <c r="Z66" s="6" t="s">
        <v>36</v>
      </c>
      <c r="AA66" s="7" t="str">
        <f t="shared" si="10"/>
        <v/>
      </c>
      <c r="AB66" s="6">
        <v>2.0</v>
      </c>
      <c r="AC66" s="7" t="str">
        <f t="shared" si="11"/>
        <v/>
      </c>
      <c r="AD66" s="6" t="s">
        <v>36</v>
      </c>
      <c r="AE66" s="7" t="str">
        <f t="shared" si="12"/>
        <v/>
      </c>
      <c r="AF66" s="6">
        <v>2.0</v>
      </c>
      <c r="AG66" s="7" t="str">
        <f t="shared" si="13"/>
        <v/>
      </c>
      <c r="AH66" s="6">
        <v>2.0</v>
      </c>
      <c r="AI66" s="7" t="str">
        <f t="shared" si="14"/>
        <v/>
      </c>
      <c r="AJ66" s="6">
        <v>2.0</v>
      </c>
      <c r="AK66" s="7" t="str">
        <f t="shared" si="15"/>
        <v/>
      </c>
      <c r="AL66" s="6">
        <v>2.0</v>
      </c>
      <c r="AM66" s="7" t="str">
        <f t="shared" si="16"/>
        <v/>
      </c>
      <c r="AN66" s="6">
        <v>2.0</v>
      </c>
      <c r="AO66" s="7" t="str">
        <f t="shared" si="17"/>
        <v/>
      </c>
      <c r="AP66" s="6">
        <v>2.0</v>
      </c>
      <c r="AQ66" s="7" t="str">
        <f t="shared" si="18"/>
        <v/>
      </c>
      <c r="AR66" s="6">
        <v>1.0</v>
      </c>
      <c r="AS66" s="7" t="str">
        <f t="shared" si="19"/>
        <v/>
      </c>
      <c r="AT66" s="6">
        <v>2.0</v>
      </c>
      <c r="AU66" s="7" t="str">
        <f t="shared" si="20"/>
        <v/>
      </c>
      <c r="AV66" s="6">
        <v>2.0</v>
      </c>
      <c r="AW66" s="7" t="str">
        <f t="shared" si="21"/>
        <v/>
      </c>
    </row>
    <row r="67" ht="18.0" customHeight="1">
      <c r="A67" s="3">
        <v>65.0</v>
      </c>
      <c r="B67" s="3" t="s">
        <v>122</v>
      </c>
      <c r="C67" s="3" t="s">
        <v>45</v>
      </c>
      <c r="D67" s="1" t="s">
        <v>88</v>
      </c>
      <c r="E67" s="4" t="s">
        <v>90</v>
      </c>
      <c r="F67" s="4" t="s">
        <v>92</v>
      </c>
      <c r="G67" s="8"/>
      <c r="H67" s="6" t="s">
        <v>36</v>
      </c>
      <c r="I67" s="7" t="str">
        <f t="shared" si="1"/>
        <v/>
      </c>
      <c r="J67" s="6">
        <v>1.0</v>
      </c>
      <c r="K67" s="7" t="str">
        <f t="shared" si="2"/>
        <v/>
      </c>
      <c r="L67" s="6">
        <v>1.0</v>
      </c>
      <c r="M67" s="7" t="str">
        <f t="shared" si="3"/>
        <v/>
      </c>
      <c r="N67" s="6">
        <v>1.0</v>
      </c>
      <c r="O67" s="7" t="str">
        <f t="shared" si="4"/>
        <v/>
      </c>
      <c r="P67" s="6">
        <v>1.0</v>
      </c>
      <c r="Q67" s="7" t="str">
        <f t="shared" si="5"/>
        <v/>
      </c>
      <c r="R67" s="6">
        <v>1.0</v>
      </c>
      <c r="S67" s="7" t="str">
        <f t="shared" si="6"/>
        <v/>
      </c>
      <c r="T67" s="6">
        <v>1.0</v>
      </c>
      <c r="U67" s="7" t="str">
        <f t="shared" si="7"/>
        <v/>
      </c>
      <c r="V67" s="6">
        <v>1.0</v>
      </c>
      <c r="W67" s="7" t="str">
        <f t="shared" si="8"/>
        <v/>
      </c>
      <c r="X67" s="6">
        <v>1.0</v>
      </c>
      <c r="Y67" s="7" t="str">
        <f t="shared" si="9"/>
        <v/>
      </c>
      <c r="Z67" s="6">
        <v>1.0</v>
      </c>
      <c r="AA67" s="7" t="str">
        <f t="shared" si="10"/>
        <v/>
      </c>
      <c r="AB67" s="6" t="s">
        <v>36</v>
      </c>
      <c r="AC67" s="7" t="str">
        <f t="shared" si="11"/>
        <v/>
      </c>
      <c r="AD67" s="6" t="s">
        <v>36</v>
      </c>
      <c r="AE67" s="7" t="str">
        <f t="shared" si="12"/>
        <v/>
      </c>
      <c r="AF67" s="6">
        <v>1.0</v>
      </c>
      <c r="AG67" s="7" t="str">
        <f t="shared" si="13"/>
        <v/>
      </c>
      <c r="AH67" s="6">
        <v>1.0</v>
      </c>
      <c r="AI67" s="7" t="str">
        <f t="shared" si="14"/>
        <v/>
      </c>
      <c r="AJ67" s="6">
        <v>1.0</v>
      </c>
      <c r="AK67" s="7" t="str">
        <f t="shared" si="15"/>
        <v/>
      </c>
      <c r="AL67" s="6">
        <v>2.0</v>
      </c>
      <c r="AM67" s="7" t="str">
        <f t="shared" si="16"/>
        <v/>
      </c>
      <c r="AN67" s="6">
        <v>1.0</v>
      </c>
      <c r="AO67" s="7" t="str">
        <f t="shared" si="17"/>
        <v/>
      </c>
      <c r="AP67" s="6">
        <v>1.0</v>
      </c>
      <c r="AQ67" s="7" t="str">
        <f t="shared" si="18"/>
        <v/>
      </c>
      <c r="AR67" s="6">
        <v>1.0</v>
      </c>
      <c r="AS67" s="7" t="str">
        <f t="shared" si="19"/>
        <v/>
      </c>
      <c r="AT67" s="6">
        <v>1.0</v>
      </c>
      <c r="AU67" s="7" t="str">
        <f t="shared" si="20"/>
        <v/>
      </c>
      <c r="AV67" s="6">
        <v>1.0</v>
      </c>
      <c r="AW67" s="7" t="str">
        <f t="shared" si="21"/>
        <v/>
      </c>
    </row>
    <row r="68" ht="18.0" customHeight="1">
      <c r="A68" s="3">
        <v>66.0</v>
      </c>
      <c r="B68" s="3" t="s">
        <v>122</v>
      </c>
      <c r="C68" s="3" t="s">
        <v>45</v>
      </c>
      <c r="D68" s="1" t="s">
        <v>88</v>
      </c>
      <c r="E68" s="4" t="s">
        <v>93</v>
      </c>
      <c r="F68" s="4" t="s">
        <v>89</v>
      </c>
      <c r="G68" s="8"/>
      <c r="H68" s="6">
        <v>2.0</v>
      </c>
      <c r="I68" s="7" t="str">
        <f t="shared" si="1"/>
        <v/>
      </c>
      <c r="J68" s="6">
        <v>2.0</v>
      </c>
      <c r="K68" s="7" t="str">
        <f t="shared" si="2"/>
        <v/>
      </c>
      <c r="L68" s="6">
        <v>2.0</v>
      </c>
      <c r="M68" s="7" t="str">
        <f t="shared" si="3"/>
        <v/>
      </c>
      <c r="N68" s="6" t="s">
        <v>36</v>
      </c>
      <c r="O68" s="7" t="str">
        <f t="shared" si="4"/>
        <v/>
      </c>
      <c r="P68" s="6" t="s">
        <v>36</v>
      </c>
      <c r="Q68" s="7" t="str">
        <f t="shared" si="5"/>
        <v/>
      </c>
      <c r="R68" s="6">
        <v>2.0</v>
      </c>
      <c r="S68" s="7" t="str">
        <f t="shared" si="6"/>
        <v/>
      </c>
      <c r="T68" s="6" t="s">
        <v>36</v>
      </c>
      <c r="U68" s="7" t="str">
        <f t="shared" si="7"/>
        <v/>
      </c>
      <c r="V68" s="6" t="s">
        <v>36</v>
      </c>
      <c r="W68" s="7" t="str">
        <f t="shared" si="8"/>
        <v/>
      </c>
      <c r="X68" s="6">
        <v>1.0</v>
      </c>
      <c r="Y68" s="7" t="str">
        <f t="shared" si="9"/>
        <v/>
      </c>
      <c r="Z68" s="6">
        <v>2.0</v>
      </c>
      <c r="AA68" s="7" t="str">
        <f t="shared" si="10"/>
        <v/>
      </c>
      <c r="AB68" s="6">
        <v>2.0</v>
      </c>
      <c r="AC68" s="7" t="str">
        <f t="shared" si="11"/>
        <v/>
      </c>
      <c r="AD68" s="6" t="s">
        <v>36</v>
      </c>
      <c r="AE68" s="7" t="str">
        <f t="shared" si="12"/>
        <v/>
      </c>
      <c r="AF68" s="6" t="s">
        <v>49</v>
      </c>
      <c r="AG68" s="7" t="str">
        <f t="shared" si="13"/>
        <v/>
      </c>
      <c r="AH68" s="6" t="s">
        <v>36</v>
      </c>
      <c r="AI68" s="7" t="str">
        <f t="shared" si="14"/>
        <v/>
      </c>
      <c r="AJ68" s="6" t="s">
        <v>36</v>
      </c>
      <c r="AK68" s="7" t="str">
        <f t="shared" si="15"/>
        <v/>
      </c>
      <c r="AL68" s="6" t="s">
        <v>36</v>
      </c>
      <c r="AM68" s="7" t="str">
        <f t="shared" si="16"/>
        <v/>
      </c>
      <c r="AN68" s="6">
        <v>2.0</v>
      </c>
      <c r="AO68" s="7" t="str">
        <f t="shared" si="17"/>
        <v/>
      </c>
      <c r="AP68" s="6">
        <v>2.0</v>
      </c>
      <c r="AQ68" s="7" t="str">
        <f t="shared" si="18"/>
        <v/>
      </c>
      <c r="AR68" s="6">
        <v>2.0</v>
      </c>
      <c r="AS68" s="7" t="str">
        <f t="shared" si="19"/>
        <v/>
      </c>
      <c r="AT68" s="6">
        <v>2.0</v>
      </c>
      <c r="AU68" s="7" t="str">
        <f t="shared" si="20"/>
        <v/>
      </c>
      <c r="AV68" s="6">
        <v>2.0</v>
      </c>
      <c r="AW68" s="7" t="str">
        <f t="shared" si="21"/>
        <v/>
      </c>
    </row>
    <row r="69" ht="18.0" customHeight="1">
      <c r="A69" s="3">
        <v>67.0</v>
      </c>
      <c r="B69" s="3" t="s">
        <v>122</v>
      </c>
      <c r="C69" s="3" t="s">
        <v>62</v>
      </c>
      <c r="D69" s="1" t="s">
        <v>94</v>
      </c>
      <c r="E69" s="4" t="s">
        <v>98</v>
      </c>
      <c r="F69" s="4" t="s">
        <v>95</v>
      </c>
      <c r="G69" s="8"/>
      <c r="H69" s="6">
        <v>2.0</v>
      </c>
      <c r="I69" s="7" t="str">
        <f t="shared" si="1"/>
        <v/>
      </c>
      <c r="J69" s="6">
        <v>2.0</v>
      </c>
      <c r="K69" s="7" t="str">
        <f t="shared" si="2"/>
        <v/>
      </c>
      <c r="L69" s="6">
        <v>2.0</v>
      </c>
      <c r="M69" s="7" t="str">
        <f t="shared" si="3"/>
        <v/>
      </c>
      <c r="N69" s="6">
        <v>2.0</v>
      </c>
      <c r="O69" s="7" t="str">
        <f t="shared" si="4"/>
        <v/>
      </c>
      <c r="P69" s="6">
        <v>2.0</v>
      </c>
      <c r="Q69" s="7" t="str">
        <f t="shared" si="5"/>
        <v/>
      </c>
      <c r="R69" s="6">
        <v>2.0</v>
      </c>
      <c r="S69" s="7" t="str">
        <f t="shared" si="6"/>
        <v/>
      </c>
      <c r="T69" s="6">
        <v>2.0</v>
      </c>
      <c r="U69" s="7" t="str">
        <f t="shared" si="7"/>
        <v/>
      </c>
      <c r="V69" s="6" t="s">
        <v>36</v>
      </c>
      <c r="W69" s="7" t="str">
        <f t="shared" si="8"/>
        <v/>
      </c>
      <c r="X69" s="6">
        <v>2.0</v>
      </c>
      <c r="Y69" s="7" t="str">
        <f t="shared" si="9"/>
        <v/>
      </c>
      <c r="Z69" s="6">
        <v>2.0</v>
      </c>
      <c r="AA69" s="7" t="str">
        <f t="shared" si="10"/>
        <v/>
      </c>
      <c r="AB69" s="6">
        <v>2.0</v>
      </c>
      <c r="AC69" s="7" t="str">
        <f t="shared" si="11"/>
        <v/>
      </c>
      <c r="AD69" s="6">
        <v>2.0</v>
      </c>
      <c r="AE69" s="7" t="str">
        <f t="shared" si="12"/>
        <v/>
      </c>
      <c r="AF69" s="6">
        <v>2.0</v>
      </c>
      <c r="AG69" s="7" t="str">
        <f t="shared" si="13"/>
        <v/>
      </c>
      <c r="AH69" s="6">
        <v>2.0</v>
      </c>
      <c r="AI69" s="7" t="str">
        <f t="shared" si="14"/>
        <v/>
      </c>
      <c r="AJ69" s="6">
        <v>2.0</v>
      </c>
      <c r="AK69" s="7" t="str">
        <f t="shared" si="15"/>
        <v/>
      </c>
      <c r="AL69" s="6">
        <v>2.0</v>
      </c>
      <c r="AM69" s="7" t="str">
        <f t="shared" si="16"/>
        <v/>
      </c>
      <c r="AN69" s="6">
        <v>2.0</v>
      </c>
      <c r="AO69" s="7" t="str">
        <f t="shared" si="17"/>
        <v/>
      </c>
      <c r="AP69" s="6">
        <v>2.0</v>
      </c>
      <c r="AQ69" s="7" t="str">
        <f t="shared" si="18"/>
        <v/>
      </c>
      <c r="AR69" s="6">
        <v>2.0</v>
      </c>
      <c r="AS69" s="7" t="str">
        <f t="shared" si="19"/>
        <v/>
      </c>
      <c r="AT69" s="6">
        <v>2.0</v>
      </c>
      <c r="AU69" s="7" t="str">
        <f t="shared" si="20"/>
        <v/>
      </c>
      <c r="AV69" s="6">
        <v>2.0</v>
      </c>
      <c r="AW69" s="7" t="str">
        <f t="shared" si="21"/>
        <v/>
      </c>
    </row>
    <row r="70" ht="18.0" customHeight="1">
      <c r="A70" s="3">
        <v>68.0</v>
      </c>
      <c r="B70" s="3" t="s">
        <v>123</v>
      </c>
      <c r="C70" s="3" t="s">
        <v>124</v>
      </c>
      <c r="D70" s="1" t="s">
        <v>99</v>
      </c>
      <c r="E70" s="4" t="s">
        <v>109</v>
      </c>
      <c r="F70" s="4" t="s">
        <v>100</v>
      </c>
      <c r="G70" s="8"/>
      <c r="H70" s="6">
        <v>2.0</v>
      </c>
      <c r="I70" s="7" t="str">
        <f t="shared" si="1"/>
        <v/>
      </c>
      <c r="J70" s="6">
        <v>2.0</v>
      </c>
      <c r="K70" s="7" t="str">
        <f t="shared" si="2"/>
        <v/>
      </c>
      <c r="L70" s="6">
        <v>1.0</v>
      </c>
      <c r="M70" s="7" t="str">
        <f t="shared" si="3"/>
        <v/>
      </c>
      <c r="N70" s="6" t="s">
        <v>36</v>
      </c>
      <c r="O70" s="7" t="str">
        <f t="shared" si="4"/>
        <v/>
      </c>
      <c r="P70" s="6" t="s">
        <v>36</v>
      </c>
      <c r="Q70" s="7" t="str">
        <f t="shared" si="5"/>
        <v/>
      </c>
      <c r="R70" s="6" t="s">
        <v>36</v>
      </c>
      <c r="S70" s="7" t="str">
        <f t="shared" si="6"/>
        <v/>
      </c>
      <c r="T70" s="6">
        <v>2.0</v>
      </c>
      <c r="U70" s="7" t="str">
        <f t="shared" si="7"/>
        <v/>
      </c>
      <c r="V70" s="6">
        <v>2.0</v>
      </c>
      <c r="W70" s="7" t="str">
        <f t="shared" si="8"/>
        <v/>
      </c>
      <c r="X70" s="6">
        <v>1.0</v>
      </c>
      <c r="Y70" s="7" t="str">
        <f t="shared" si="9"/>
        <v/>
      </c>
      <c r="Z70" s="6">
        <v>2.0</v>
      </c>
      <c r="AA70" s="7" t="str">
        <f t="shared" si="10"/>
        <v/>
      </c>
      <c r="AB70" s="6">
        <v>2.0</v>
      </c>
      <c r="AC70" s="7" t="str">
        <f t="shared" si="11"/>
        <v/>
      </c>
      <c r="AD70" s="6">
        <v>2.0</v>
      </c>
      <c r="AE70" s="7" t="str">
        <f t="shared" si="12"/>
        <v/>
      </c>
      <c r="AF70" s="6">
        <v>2.0</v>
      </c>
      <c r="AG70" s="7" t="str">
        <f t="shared" si="13"/>
        <v/>
      </c>
      <c r="AH70" s="6" t="s">
        <v>36</v>
      </c>
      <c r="AI70" s="7" t="str">
        <f t="shared" si="14"/>
        <v/>
      </c>
      <c r="AJ70" s="6">
        <v>1.0</v>
      </c>
      <c r="AK70" s="7" t="str">
        <f t="shared" si="15"/>
        <v/>
      </c>
      <c r="AL70" s="6">
        <v>1.0</v>
      </c>
      <c r="AM70" s="7" t="str">
        <f t="shared" si="16"/>
        <v/>
      </c>
      <c r="AN70" s="6">
        <v>2.0</v>
      </c>
      <c r="AO70" s="7" t="str">
        <f t="shared" si="17"/>
        <v/>
      </c>
      <c r="AP70" s="6">
        <v>2.0</v>
      </c>
      <c r="AQ70" s="7" t="str">
        <f t="shared" si="18"/>
        <v/>
      </c>
      <c r="AR70" s="6">
        <v>2.0</v>
      </c>
      <c r="AS70" s="7" t="str">
        <f t="shared" si="19"/>
        <v/>
      </c>
      <c r="AT70" s="6">
        <v>2.0</v>
      </c>
      <c r="AU70" s="7" t="str">
        <f t="shared" si="20"/>
        <v/>
      </c>
      <c r="AV70" s="6" t="s">
        <v>36</v>
      </c>
      <c r="AW70" s="7" t="str">
        <f t="shared" si="21"/>
        <v/>
      </c>
    </row>
    <row r="71" ht="18.0" customHeight="1">
      <c r="A71" s="3">
        <v>69.0</v>
      </c>
      <c r="B71" s="3" t="s">
        <v>123</v>
      </c>
      <c r="C71" s="3" t="s">
        <v>124</v>
      </c>
      <c r="D71" s="1" t="s">
        <v>99</v>
      </c>
      <c r="E71" s="4" t="s">
        <v>101</v>
      </c>
      <c r="F71" s="4" t="s">
        <v>108</v>
      </c>
      <c r="G71" s="8"/>
      <c r="H71" s="6" t="s">
        <v>36</v>
      </c>
      <c r="I71" s="7" t="str">
        <f t="shared" si="1"/>
        <v/>
      </c>
      <c r="J71" s="6" t="s">
        <v>36</v>
      </c>
      <c r="K71" s="7" t="str">
        <f t="shared" si="2"/>
        <v/>
      </c>
      <c r="L71" s="6">
        <v>1.0</v>
      </c>
      <c r="M71" s="7" t="str">
        <f t="shared" si="3"/>
        <v/>
      </c>
      <c r="N71" s="6">
        <v>1.0</v>
      </c>
      <c r="O71" s="7" t="str">
        <f t="shared" si="4"/>
        <v/>
      </c>
      <c r="P71" s="6">
        <v>1.0</v>
      </c>
      <c r="Q71" s="7" t="str">
        <f t="shared" si="5"/>
        <v/>
      </c>
      <c r="R71" s="6" t="s">
        <v>36</v>
      </c>
      <c r="S71" s="7" t="str">
        <f t="shared" si="6"/>
        <v/>
      </c>
      <c r="T71" s="6" t="s">
        <v>36</v>
      </c>
      <c r="U71" s="7" t="str">
        <f t="shared" si="7"/>
        <v/>
      </c>
      <c r="V71" s="6">
        <v>2.0</v>
      </c>
      <c r="W71" s="7" t="str">
        <f t="shared" si="8"/>
        <v/>
      </c>
      <c r="X71" s="6">
        <v>1.0</v>
      </c>
      <c r="Y71" s="7" t="str">
        <f t="shared" si="9"/>
        <v/>
      </c>
      <c r="Z71" s="6" t="s">
        <v>36</v>
      </c>
      <c r="AA71" s="7" t="str">
        <f t="shared" si="10"/>
        <v/>
      </c>
      <c r="AB71" s="6" t="s">
        <v>36</v>
      </c>
      <c r="AC71" s="7" t="str">
        <f t="shared" si="11"/>
        <v/>
      </c>
      <c r="AD71" s="6" t="s">
        <v>36</v>
      </c>
      <c r="AE71" s="7" t="str">
        <f t="shared" si="12"/>
        <v/>
      </c>
      <c r="AF71" s="6">
        <v>2.0</v>
      </c>
      <c r="AG71" s="7" t="str">
        <f t="shared" si="13"/>
        <v/>
      </c>
      <c r="AH71" s="6" t="s">
        <v>36</v>
      </c>
      <c r="AI71" s="7" t="str">
        <f t="shared" si="14"/>
        <v/>
      </c>
      <c r="AJ71" s="6">
        <v>1.0</v>
      </c>
      <c r="AK71" s="7" t="str">
        <f t="shared" si="15"/>
        <v/>
      </c>
      <c r="AL71" s="6">
        <v>2.0</v>
      </c>
      <c r="AM71" s="7" t="str">
        <f t="shared" si="16"/>
        <v/>
      </c>
      <c r="AN71" s="6">
        <v>2.0</v>
      </c>
      <c r="AO71" s="7" t="str">
        <f t="shared" si="17"/>
        <v/>
      </c>
      <c r="AP71" s="6">
        <v>2.0</v>
      </c>
      <c r="AQ71" s="7" t="str">
        <f t="shared" si="18"/>
        <v/>
      </c>
      <c r="AR71" s="6">
        <v>1.0</v>
      </c>
      <c r="AS71" s="7" t="str">
        <f t="shared" si="19"/>
        <v/>
      </c>
      <c r="AT71" s="6">
        <v>1.0</v>
      </c>
      <c r="AU71" s="7" t="str">
        <f t="shared" si="20"/>
        <v/>
      </c>
      <c r="AV71" s="6">
        <v>2.0</v>
      </c>
      <c r="AW71" s="7" t="str">
        <f t="shared" si="21"/>
        <v/>
      </c>
    </row>
    <row r="72" ht="18.0" customHeight="1">
      <c r="A72" s="3">
        <v>70.0</v>
      </c>
      <c r="B72" s="3" t="s">
        <v>123</v>
      </c>
      <c r="C72" s="3" t="s">
        <v>38</v>
      </c>
      <c r="D72" s="1" t="s">
        <v>94</v>
      </c>
      <c r="E72" s="4" t="s">
        <v>96</v>
      </c>
      <c r="F72" s="4" t="s">
        <v>97</v>
      </c>
      <c r="G72" s="8"/>
      <c r="H72" s="6">
        <v>1.0</v>
      </c>
      <c r="I72" s="7" t="str">
        <f t="shared" si="1"/>
        <v/>
      </c>
      <c r="J72" s="6">
        <v>2.0</v>
      </c>
      <c r="K72" s="7" t="str">
        <f t="shared" si="2"/>
        <v/>
      </c>
      <c r="L72" s="6">
        <v>2.0</v>
      </c>
      <c r="M72" s="7" t="str">
        <f t="shared" si="3"/>
        <v/>
      </c>
      <c r="N72" s="6">
        <v>2.0</v>
      </c>
      <c r="O72" s="7" t="str">
        <f t="shared" si="4"/>
        <v/>
      </c>
      <c r="P72" s="6" t="s">
        <v>36</v>
      </c>
      <c r="Q72" s="7" t="str">
        <f t="shared" si="5"/>
        <v/>
      </c>
      <c r="R72" s="6" t="s">
        <v>36</v>
      </c>
      <c r="S72" s="7" t="str">
        <f t="shared" si="6"/>
        <v/>
      </c>
      <c r="T72" s="6" t="s">
        <v>36</v>
      </c>
      <c r="U72" s="7" t="str">
        <f t="shared" si="7"/>
        <v/>
      </c>
      <c r="V72" s="6" t="s">
        <v>36</v>
      </c>
      <c r="W72" s="7" t="str">
        <f t="shared" si="8"/>
        <v/>
      </c>
      <c r="X72" s="6">
        <v>1.0</v>
      </c>
      <c r="Y72" s="7" t="str">
        <f t="shared" si="9"/>
        <v/>
      </c>
      <c r="Z72" s="6">
        <v>2.0</v>
      </c>
      <c r="AA72" s="7" t="str">
        <f t="shared" si="10"/>
        <v/>
      </c>
      <c r="AB72" s="6">
        <v>1.0</v>
      </c>
      <c r="AC72" s="7" t="str">
        <f t="shared" si="11"/>
        <v/>
      </c>
      <c r="AD72" s="6" t="s">
        <v>36</v>
      </c>
      <c r="AE72" s="7" t="str">
        <f t="shared" si="12"/>
        <v/>
      </c>
      <c r="AF72" s="6" t="s">
        <v>49</v>
      </c>
      <c r="AG72" s="7" t="str">
        <f t="shared" si="13"/>
        <v/>
      </c>
      <c r="AH72" s="6" t="s">
        <v>36</v>
      </c>
      <c r="AI72" s="7" t="str">
        <f t="shared" si="14"/>
        <v/>
      </c>
      <c r="AJ72" s="6">
        <v>1.0</v>
      </c>
      <c r="AK72" s="7" t="str">
        <f t="shared" si="15"/>
        <v/>
      </c>
      <c r="AL72" s="6">
        <v>1.0</v>
      </c>
      <c r="AM72" s="7" t="str">
        <f t="shared" si="16"/>
        <v/>
      </c>
      <c r="AN72" s="6">
        <v>1.0</v>
      </c>
      <c r="AO72" s="7" t="str">
        <f t="shared" si="17"/>
        <v/>
      </c>
      <c r="AP72" s="6">
        <v>2.0</v>
      </c>
      <c r="AQ72" s="7" t="str">
        <f t="shared" si="18"/>
        <v/>
      </c>
      <c r="AR72" s="6">
        <v>2.0</v>
      </c>
      <c r="AS72" s="7" t="str">
        <f t="shared" si="19"/>
        <v/>
      </c>
      <c r="AT72" s="6">
        <v>2.0</v>
      </c>
      <c r="AU72" s="7" t="str">
        <f t="shared" si="20"/>
        <v/>
      </c>
      <c r="AV72" s="6">
        <v>1.0</v>
      </c>
      <c r="AW72" s="7" t="str">
        <f t="shared" si="21"/>
        <v/>
      </c>
    </row>
    <row r="73" ht="18.0" customHeight="1">
      <c r="A73" s="3">
        <v>71.0</v>
      </c>
      <c r="B73" s="3" t="s">
        <v>123</v>
      </c>
      <c r="C73" s="3" t="s">
        <v>62</v>
      </c>
      <c r="D73" s="1" t="s">
        <v>102</v>
      </c>
      <c r="E73" s="4" t="s">
        <v>104</v>
      </c>
      <c r="F73" s="4" t="s">
        <v>106</v>
      </c>
      <c r="G73" s="8"/>
      <c r="H73" s="6">
        <v>1.0</v>
      </c>
      <c r="I73" s="7" t="str">
        <f t="shared" si="1"/>
        <v/>
      </c>
      <c r="J73" s="6">
        <v>1.0</v>
      </c>
      <c r="K73" s="7" t="str">
        <f t="shared" si="2"/>
        <v/>
      </c>
      <c r="L73" s="6">
        <v>1.0</v>
      </c>
      <c r="M73" s="7" t="str">
        <f t="shared" si="3"/>
        <v/>
      </c>
      <c r="N73" s="6">
        <v>1.0</v>
      </c>
      <c r="O73" s="7" t="str">
        <f t="shared" si="4"/>
        <v/>
      </c>
      <c r="P73" s="6">
        <v>1.0</v>
      </c>
      <c r="Q73" s="7" t="str">
        <f t="shared" si="5"/>
        <v/>
      </c>
      <c r="R73" s="6">
        <v>1.0</v>
      </c>
      <c r="S73" s="7" t="str">
        <f t="shared" si="6"/>
        <v/>
      </c>
      <c r="T73" s="6">
        <v>1.0</v>
      </c>
      <c r="U73" s="7" t="str">
        <f t="shared" si="7"/>
        <v/>
      </c>
      <c r="V73" s="6" t="s">
        <v>36</v>
      </c>
      <c r="W73" s="7" t="str">
        <f t="shared" si="8"/>
        <v/>
      </c>
      <c r="X73" s="6">
        <v>1.0</v>
      </c>
      <c r="Y73" s="7" t="str">
        <f t="shared" si="9"/>
        <v/>
      </c>
      <c r="Z73" s="6" t="s">
        <v>36</v>
      </c>
      <c r="AA73" s="7" t="str">
        <f t="shared" si="10"/>
        <v/>
      </c>
      <c r="AB73" s="6">
        <v>1.0</v>
      </c>
      <c r="AC73" s="7" t="str">
        <f t="shared" si="11"/>
        <v/>
      </c>
      <c r="AD73" s="6">
        <v>1.0</v>
      </c>
      <c r="AE73" s="7" t="str">
        <f t="shared" si="12"/>
        <v/>
      </c>
      <c r="AF73" s="6">
        <v>1.0</v>
      </c>
      <c r="AG73" s="7" t="str">
        <f t="shared" si="13"/>
        <v/>
      </c>
      <c r="AH73" s="6" t="s">
        <v>36</v>
      </c>
      <c r="AI73" s="7" t="str">
        <f t="shared" si="14"/>
        <v/>
      </c>
      <c r="AJ73" s="6">
        <v>2.0</v>
      </c>
      <c r="AK73" s="7" t="str">
        <f t="shared" si="15"/>
        <v/>
      </c>
      <c r="AL73" s="6" t="s">
        <v>36</v>
      </c>
      <c r="AM73" s="7" t="str">
        <f t="shared" si="16"/>
        <v/>
      </c>
      <c r="AN73" s="6">
        <v>1.0</v>
      </c>
      <c r="AO73" s="7" t="str">
        <f t="shared" si="17"/>
        <v/>
      </c>
      <c r="AP73" s="6">
        <v>1.0</v>
      </c>
      <c r="AQ73" s="7" t="str">
        <f t="shared" si="18"/>
        <v/>
      </c>
      <c r="AR73" s="6">
        <v>1.0</v>
      </c>
      <c r="AS73" s="7" t="str">
        <f t="shared" si="19"/>
        <v/>
      </c>
      <c r="AT73" s="6">
        <v>2.0</v>
      </c>
      <c r="AU73" s="7" t="str">
        <f t="shared" si="20"/>
        <v/>
      </c>
      <c r="AV73" s="6">
        <v>1.0</v>
      </c>
      <c r="AW73" s="7" t="str">
        <f t="shared" si="21"/>
        <v/>
      </c>
    </row>
    <row r="74" ht="18.0" customHeight="1">
      <c r="A74" s="3">
        <v>72.0</v>
      </c>
      <c r="B74" s="3" t="s">
        <v>123</v>
      </c>
      <c r="C74" s="3" t="s">
        <v>62</v>
      </c>
      <c r="D74" s="1" t="s">
        <v>102</v>
      </c>
      <c r="E74" s="4" t="s">
        <v>107</v>
      </c>
      <c r="F74" s="4" t="s">
        <v>103</v>
      </c>
      <c r="G74" s="8"/>
      <c r="H74" s="6">
        <v>2.0</v>
      </c>
      <c r="I74" s="7" t="str">
        <f t="shared" si="1"/>
        <v/>
      </c>
      <c r="J74" s="6">
        <v>2.0</v>
      </c>
      <c r="K74" s="7" t="str">
        <f t="shared" si="2"/>
        <v/>
      </c>
      <c r="L74" s="6">
        <v>2.0</v>
      </c>
      <c r="M74" s="7" t="str">
        <f t="shared" si="3"/>
        <v/>
      </c>
      <c r="N74" s="6">
        <v>2.0</v>
      </c>
      <c r="O74" s="7" t="str">
        <f t="shared" si="4"/>
        <v/>
      </c>
      <c r="P74" s="6">
        <v>2.0</v>
      </c>
      <c r="Q74" s="7" t="str">
        <f t="shared" si="5"/>
        <v/>
      </c>
      <c r="R74" s="6">
        <v>2.0</v>
      </c>
      <c r="S74" s="7" t="str">
        <f t="shared" si="6"/>
        <v/>
      </c>
      <c r="T74" s="6">
        <v>2.0</v>
      </c>
      <c r="U74" s="7" t="str">
        <f t="shared" si="7"/>
        <v/>
      </c>
      <c r="V74" s="6">
        <v>2.0</v>
      </c>
      <c r="W74" s="7" t="str">
        <f t="shared" si="8"/>
        <v/>
      </c>
      <c r="X74" s="6">
        <v>2.0</v>
      </c>
      <c r="Y74" s="7" t="str">
        <f t="shared" si="9"/>
        <v/>
      </c>
      <c r="Z74" s="6">
        <v>2.0</v>
      </c>
      <c r="AA74" s="7" t="str">
        <f t="shared" si="10"/>
        <v/>
      </c>
      <c r="AB74" s="6">
        <v>2.0</v>
      </c>
      <c r="AC74" s="7" t="str">
        <f t="shared" si="11"/>
        <v/>
      </c>
      <c r="AD74" s="6">
        <v>2.0</v>
      </c>
      <c r="AE74" s="7" t="str">
        <f t="shared" si="12"/>
        <v/>
      </c>
      <c r="AF74" s="6">
        <v>2.0</v>
      </c>
      <c r="AG74" s="7" t="str">
        <f t="shared" si="13"/>
        <v/>
      </c>
      <c r="AH74" s="6">
        <v>2.0</v>
      </c>
      <c r="AI74" s="7" t="str">
        <f t="shared" si="14"/>
        <v/>
      </c>
      <c r="AJ74" s="6">
        <v>2.0</v>
      </c>
      <c r="AK74" s="7" t="str">
        <f t="shared" si="15"/>
        <v/>
      </c>
      <c r="AL74" s="6">
        <v>2.0</v>
      </c>
      <c r="AM74" s="7" t="str">
        <f t="shared" si="16"/>
        <v/>
      </c>
      <c r="AN74" s="6">
        <v>2.0</v>
      </c>
      <c r="AO74" s="7" t="str">
        <f t="shared" si="17"/>
        <v/>
      </c>
      <c r="AP74" s="6">
        <v>2.0</v>
      </c>
      <c r="AQ74" s="7" t="str">
        <f t="shared" si="18"/>
        <v/>
      </c>
      <c r="AR74" s="6">
        <v>2.0</v>
      </c>
      <c r="AS74" s="7" t="str">
        <f t="shared" si="19"/>
        <v/>
      </c>
      <c r="AT74" s="6">
        <v>2.0</v>
      </c>
      <c r="AU74" s="7" t="str">
        <f t="shared" si="20"/>
        <v/>
      </c>
      <c r="AV74" s="6">
        <v>2.0</v>
      </c>
      <c r="AW74" s="7" t="str">
        <f t="shared" si="21"/>
        <v/>
      </c>
    </row>
    <row r="75" ht="14.2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/>
      <c r="AU75" s="10"/>
      <c r="AV75" s="10"/>
      <c r="AW75" s="10"/>
    </row>
    <row r="76" ht="14.2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10"/>
      <c r="AV76" s="10"/>
      <c r="AW76" s="10"/>
    </row>
    <row r="77" ht="14.2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10"/>
      <c r="AT77" s="10"/>
      <c r="AU77" s="10"/>
      <c r="AV77" s="10"/>
      <c r="AW77" s="10"/>
    </row>
    <row r="78" ht="14.2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10"/>
      <c r="AT78" s="10"/>
      <c r="AU78" s="10"/>
      <c r="AV78" s="10"/>
      <c r="AW78" s="10"/>
    </row>
    <row r="79" ht="14.2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10"/>
      <c r="AT79" s="10"/>
      <c r="AU79" s="10"/>
      <c r="AV79" s="10"/>
      <c r="AW79" s="10"/>
    </row>
    <row r="80" ht="14.2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  <c r="AQ80" s="10"/>
      <c r="AR80" s="10"/>
      <c r="AS80" s="10"/>
      <c r="AT80" s="10"/>
      <c r="AU80" s="10"/>
      <c r="AV80" s="10"/>
      <c r="AW80" s="10"/>
    </row>
    <row r="81" ht="14.2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/>
      <c r="AU81" s="10"/>
      <c r="AV81" s="10"/>
      <c r="AW81" s="10"/>
    </row>
    <row r="82" ht="14.2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  <c r="AS82" s="10"/>
      <c r="AT82" s="10"/>
      <c r="AU82" s="10"/>
      <c r="AV82" s="10"/>
      <c r="AW82" s="10"/>
    </row>
    <row r="83" ht="14.2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R83" s="10"/>
      <c r="AS83" s="10"/>
      <c r="AT83" s="10"/>
      <c r="AU83" s="10"/>
      <c r="AV83" s="10"/>
      <c r="AW83" s="10"/>
    </row>
    <row r="84" ht="14.2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10"/>
      <c r="AR84" s="10"/>
      <c r="AS84" s="10"/>
      <c r="AT84" s="10"/>
      <c r="AU84" s="10"/>
      <c r="AV84" s="10"/>
      <c r="AW84" s="10"/>
    </row>
    <row r="85" ht="14.2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</row>
    <row r="86" ht="14.2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/>
      <c r="AR86" s="10"/>
      <c r="AS86" s="10"/>
      <c r="AT86" s="10"/>
      <c r="AU86" s="10"/>
      <c r="AV86" s="10"/>
      <c r="AW86" s="10"/>
    </row>
    <row r="87" ht="14.2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10"/>
      <c r="AT87" s="10"/>
      <c r="AU87" s="10"/>
      <c r="AV87" s="10"/>
      <c r="AW87" s="10"/>
    </row>
    <row r="88" ht="14.2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10"/>
      <c r="AT88" s="10"/>
      <c r="AU88" s="10"/>
      <c r="AV88" s="10"/>
      <c r="AW88" s="10"/>
    </row>
    <row r="89" ht="14.2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/>
      <c r="AU89" s="10"/>
      <c r="AV89" s="10"/>
      <c r="AW89" s="10"/>
    </row>
    <row r="90" ht="14.2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/>
      <c r="AU90" s="10"/>
      <c r="AV90" s="10"/>
      <c r="AW90" s="10"/>
    </row>
    <row r="91" ht="14.2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</row>
    <row r="92" ht="14.2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10"/>
      <c r="AO92" s="10"/>
      <c r="AP92" s="10"/>
      <c r="AQ92" s="10"/>
      <c r="AR92" s="10"/>
      <c r="AS92" s="10"/>
      <c r="AT92" s="10"/>
      <c r="AU92" s="10"/>
      <c r="AV92" s="10"/>
      <c r="AW92" s="10"/>
    </row>
    <row r="93" ht="14.2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  <c r="AW93" s="10"/>
    </row>
    <row r="94" ht="14.2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10"/>
      <c r="AT94" s="10"/>
      <c r="AU94" s="10"/>
      <c r="AV94" s="10"/>
      <c r="AW94" s="10"/>
    </row>
    <row r="95" ht="14.2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10"/>
      <c r="AT95" s="10"/>
      <c r="AU95" s="10"/>
      <c r="AV95" s="10"/>
      <c r="AW95" s="10"/>
    </row>
    <row r="96" ht="14.2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O96" s="10"/>
      <c r="AP96" s="10"/>
      <c r="AQ96" s="10"/>
      <c r="AR96" s="10"/>
      <c r="AS96" s="10"/>
      <c r="AT96" s="10"/>
      <c r="AU96" s="10"/>
      <c r="AV96" s="10"/>
      <c r="AW96" s="10"/>
    </row>
    <row r="97" ht="14.2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  <c r="AO97" s="10"/>
      <c r="AP97" s="10"/>
      <c r="AQ97" s="10"/>
      <c r="AR97" s="10"/>
      <c r="AS97" s="10"/>
      <c r="AT97" s="10"/>
      <c r="AU97" s="10"/>
      <c r="AV97" s="10"/>
      <c r="AW97" s="10"/>
    </row>
    <row r="98" ht="14.2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O98" s="10"/>
      <c r="AP98" s="10"/>
      <c r="AQ98" s="10"/>
      <c r="AR98" s="10"/>
      <c r="AS98" s="10"/>
      <c r="AT98" s="10"/>
      <c r="AU98" s="10"/>
      <c r="AV98" s="10"/>
      <c r="AW98" s="10"/>
    </row>
    <row r="99" ht="14.2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/>
      <c r="AO99" s="10"/>
      <c r="AP99" s="10"/>
      <c r="AQ99" s="10"/>
      <c r="AR99" s="10"/>
      <c r="AS99" s="10"/>
      <c r="AT99" s="10"/>
      <c r="AU99" s="10"/>
      <c r="AV99" s="10"/>
      <c r="AW99" s="10"/>
    </row>
    <row r="100" ht="14.2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  <c r="AQ100" s="10"/>
      <c r="AR100" s="10"/>
      <c r="AS100" s="10"/>
      <c r="AT100" s="10"/>
      <c r="AU100" s="10"/>
      <c r="AV100" s="10"/>
      <c r="AW100" s="10"/>
    </row>
    <row r="101" ht="14.2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10"/>
      <c r="AT101" s="10"/>
      <c r="AU101" s="10"/>
      <c r="AV101" s="10"/>
      <c r="AW101" s="10"/>
    </row>
    <row r="102" ht="14.2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10"/>
      <c r="AR102" s="10"/>
      <c r="AS102" s="10"/>
      <c r="AT102" s="10"/>
      <c r="AU102" s="10"/>
      <c r="AV102" s="10"/>
      <c r="AW102" s="10"/>
    </row>
    <row r="103" ht="14.2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  <c r="AQ103" s="10"/>
      <c r="AR103" s="10"/>
      <c r="AS103" s="10"/>
      <c r="AT103" s="10"/>
      <c r="AU103" s="10"/>
      <c r="AV103" s="10"/>
      <c r="AW103" s="10"/>
    </row>
    <row r="104" ht="14.2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</row>
    <row r="105" ht="14.2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</row>
    <row r="106" ht="14.2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</row>
    <row r="107" ht="14.2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</row>
    <row r="108" ht="14.2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</row>
    <row r="109" ht="14.2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</row>
    <row r="110" ht="14.2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</row>
    <row r="111" ht="14.2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</row>
    <row r="112" ht="14.2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</row>
    <row r="113" ht="14.2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</row>
    <row r="114" ht="14.2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</row>
    <row r="115" ht="14.2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</row>
    <row r="116" ht="14.2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</row>
    <row r="117" ht="14.2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</row>
    <row r="118" ht="14.2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10"/>
      <c r="AT118" s="10"/>
      <c r="AU118" s="10"/>
      <c r="AV118" s="10"/>
      <c r="AW118" s="10"/>
    </row>
    <row r="119" ht="14.2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10"/>
      <c r="AT119" s="10"/>
      <c r="AU119" s="10"/>
      <c r="AV119" s="10"/>
      <c r="AW119" s="10"/>
    </row>
    <row r="120" ht="14.2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</row>
    <row r="121" ht="14.2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10"/>
      <c r="AT121" s="10"/>
      <c r="AU121" s="10"/>
      <c r="AV121" s="10"/>
      <c r="AW121" s="10"/>
    </row>
    <row r="122" ht="14.2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10"/>
      <c r="AT122" s="10"/>
      <c r="AU122" s="10"/>
      <c r="AV122" s="10"/>
      <c r="AW122" s="10"/>
    </row>
    <row r="123" ht="14.2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10"/>
      <c r="AT123" s="10"/>
      <c r="AU123" s="10"/>
      <c r="AV123" s="10"/>
      <c r="AW123" s="10"/>
    </row>
    <row r="124" ht="14.2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10"/>
      <c r="AO124" s="10"/>
      <c r="AP124" s="10"/>
      <c r="AQ124" s="10"/>
      <c r="AR124" s="10"/>
      <c r="AS124" s="10"/>
      <c r="AT124" s="10"/>
      <c r="AU124" s="10"/>
      <c r="AV124" s="10"/>
      <c r="AW124" s="10"/>
    </row>
    <row r="125" ht="14.2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0"/>
      <c r="AP125" s="10"/>
      <c r="AQ125" s="10"/>
      <c r="AR125" s="10"/>
      <c r="AS125" s="10"/>
      <c r="AT125" s="10"/>
      <c r="AU125" s="10"/>
      <c r="AV125" s="10"/>
      <c r="AW125" s="10"/>
    </row>
    <row r="126" ht="14.2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  <c r="AI126" s="10"/>
      <c r="AJ126" s="10"/>
      <c r="AK126" s="10"/>
      <c r="AL126" s="10"/>
      <c r="AM126" s="10"/>
      <c r="AN126" s="10"/>
      <c r="AO126" s="10"/>
      <c r="AP126" s="10"/>
      <c r="AQ126" s="10"/>
      <c r="AR126" s="10"/>
      <c r="AS126" s="10"/>
      <c r="AT126" s="10"/>
      <c r="AU126" s="10"/>
      <c r="AV126" s="10"/>
      <c r="AW126" s="10"/>
    </row>
    <row r="127" ht="14.2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  <c r="AO127" s="10"/>
      <c r="AP127" s="10"/>
      <c r="AQ127" s="10"/>
      <c r="AR127" s="10"/>
      <c r="AS127" s="10"/>
      <c r="AT127" s="10"/>
      <c r="AU127" s="10"/>
      <c r="AV127" s="10"/>
      <c r="AW127" s="10"/>
    </row>
    <row r="128" ht="14.2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  <c r="AN128" s="10"/>
      <c r="AO128" s="10"/>
      <c r="AP128" s="10"/>
      <c r="AQ128" s="10"/>
      <c r="AR128" s="10"/>
      <c r="AS128" s="10"/>
      <c r="AT128" s="10"/>
      <c r="AU128" s="10"/>
      <c r="AV128" s="10"/>
      <c r="AW128" s="10"/>
    </row>
    <row r="129" ht="14.2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  <c r="AW129" s="10"/>
    </row>
    <row r="130" ht="14.2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  <c r="AP130" s="10"/>
      <c r="AQ130" s="10"/>
      <c r="AR130" s="10"/>
      <c r="AS130" s="10"/>
      <c r="AT130" s="10"/>
      <c r="AU130" s="10"/>
      <c r="AV130" s="10"/>
      <c r="AW130" s="10"/>
    </row>
    <row r="131" ht="14.2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O131" s="10"/>
      <c r="AP131" s="10"/>
      <c r="AQ131" s="10"/>
      <c r="AR131" s="10"/>
      <c r="AS131" s="10"/>
      <c r="AT131" s="10"/>
      <c r="AU131" s="10"/>
      <c r="AV131" s="10"/>
      <c r="AW131" s="10"/>
    </row>
    <row r="132" ht="14.2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  <c r="AN132" s="10"/>
      <c r="AO132" s="10"/>
      <c r="AP132" s="10"/>
      <c r="AQ132" s="10"/>
      <c r="AR132" s="10"/>
      <c r="AS132" s="10"/>
      <c r="AT132" s="10"/>
      <c r="AU132" s="10"/>
      <c r="AV132" s="10"/>
      <c r="AW132" s="10"/>
    </row>
    <row r="133" ht="14.2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  <c r="AO133" s="10"/>
      <c r="AP133" s="10"/>
      <c r="AQ133" s="10"/>
      <c r="AR133" s="10"/>
      <c r="AS133" s="10"/>
      <c r="AT133" s="10"/>
      <c r="AU133" s="10"/>
      <c r="AV133" s="10"/>
      <c r="AW133" s="10"/>
    </row>
    <row r="134" ht="14.2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0"/>
      <c r="AV134" s="10"/>
      <c r="AW134" s="10"/>
    </row>
    <row r="135" ht="14.2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10"/>
      <c r="AO135" s="10"/>
      <c r="AP135" s="10"/>
      <c r="AQ135" s="10"/>
      <c r="AR135" s="10"/>
      <c r="AS135" s="10"/>
      <c r="AT135" s="10"/>
      <c r="AU135" s="10"/>
      <c r="AV135" s="10"/>
      <c r="AW135" s="10"/>
    </row>
    <row r="136" ht="14.2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  <c r="AI136" s="10"/>
      <c r="AJ136" s="10"/>
      <c r="AK136" s="10"/>
      <c r="AL136" s="10"/>
      <c r="AM136" s="10"/>
      <c r="AN136" s="10"/>
      <c r="AO136" s="10"/>
      <c r="AP136" s="10"/>
      <c r="AQ136" s="10"/>
      <c r="AR136" s="10"/>
      <c r="AS136" s="10"/>
      <c r="AT136" s="10"/>
      <c r="AU136" s="10"/>
      <c r="AV136" s="10"/>
      <c r="AW136" s="10"/>
    </row>
    <row r="137" ht="14.2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/>
      <c r="AJ137" s="10"/>
      <c r="AK137" s="10"/>
      <c r="AL137" s="10"/>
      <c r="AM137" s="10"/>
      <c r="AN137" s="10"/>
      <c r="AO137" s="10"/>
      <c r="AP137" s="10"/>
      <c r="AQ137" s="10"/>
      <c r="AR137" s="10"/>
      <c r="AS137" s="10"/>
      <c r="AT137" s="10"/>
      <c r="AU137" s="10"/>
      <c r="AV137" s="10"/>
      <c r="AW137" s="10"/>
    </row>
    <row r="138" ht="14.2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10"/>
      <c r="AO138" s="10"/>
      <c r="AP138" s="10"/>
      <c r="AQ138" s="10"/>
      <c r="AR138" s="10"/>
      <c r="AS138" s="10"/>
      <c r="AT138" s="10"/>
      <c r="AU138" s="10"/>
      <c r="AV138" s="10"/>
      <c r="AW138" s="10"/>
    </row>
    <row r="139" ht="14.2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  <c r="AO139" s="10"/>
      <c r="AP139" s="10"/>
      <c r="AQ139" s="10"/>
      <c r="AR139" s="10"/>
      <c r="AS139" s="10"/>
      <c r="AT139" s="10"/>
      <c r="AU139" s="10"/>
      <c r="AV139" s="10"/>
      <c r="AW139" s="10"/>
    </row>
    <row r="140" ht="14.2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O140" s="10"/>
      <c r="AP140" s="10"/>
      <c r="AQ140" s="10"/>
      <c r="AR140" s="10"/>
      <c r="AS140" s="10"/>
      <c r="AT140" s="10"/>
      <c r="AU140" s="10"/>
      <c r="AV140" s="10"/>
      <c r="AW140" s="10"/>
    </row>
    <row r="141" ht="14.2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  <c r="AN141" s="10"/>
      <c r="AO141" s="10"/>
      <c r="AP141" s="10"/>
      <c r="AQ141" s="10"/>
      <c r="AR141" s="10"/>
      <c r="AS141" s="10"/>
      <c r="AT141" s="10"/>
      <c r="AU141" s="10"/>
      <c r="AV141" s="10"/>
      <c r="AW141" s="10"/>
    </row>
    <row r="142" ht="14.2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  <c r="AM142" s="10"/>
      <c r="AN142" s="10"/>
      <c r="AO142" s="10"/>
      <c r="AP142" s="10"/>
      <c r="AQ142" s="10"/>
      <c r="AR142" s="10"/>
      <c r="AS142" s="10"/>
      <c r="AT142" s="10"/>
      <c r="AU142" s="10"/>
      <c r="AV142" s="10"/>
      <c r="AW142" s="10"/>
    </row>
    <row r="143" ht="14.2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O143" s="10"/>
      <c r="AP143" s="10"/>
      <c r="AQ143" s="10"/>
      <c r="AR143" s="10"/>
      <c r="AS143" s="10"/>
      <c r="AT143" s="10"/>
      <c r="AU143" s="10"/>
      <c r="AV143" s="10"/>
      <c r="AW143" s="10"/>
    </row>
    <row r="144" ht="14.2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0"/>
      <c r="AO144" s="10"/>
      <c r="AP144" s="10"/>
      <c r="AQ144" s="10"/>
      <c r="AR144" s="10"/>
      <c r="AS144" s="10"/>
      <c r="AT144" s="10"/>
      <c r="AU144" s="10"/>
      <c r="AV144" s="10"/>
      <c r="AW144" s="10"/>
    </row>
    <row r="145" ht="14.2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  <c r="AP145" s="10"/>
      <c r="AQ145" s="10"/>
      <c r="AR145" s="10"/>
      <c r="AS145" s="10"/>
      <c r="AT145" s="10"/>
      <c r="AU145" s="10"/>
      <c r="AV145" s="10"/>
      <c r="AW145" s="10"/>
    </row>
    <row r="146" ht="14.2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  <c r="AM146" s="10"/>
      <c r="AN146" s="10"/>
      <c r="AO146" s="10"/>
      <c r="AP146" s="10"/>
      <c r="AQ146" s="10"/>
      <c r="AR146" s="10"/>
      <c r="AS146" s="10"/>
      <c r="AT146" s="10"/>
      <c r="AU146" s="10"/>
      <c r="AV146" s="10"/>
      <c r="AW146" s="10"/>
    </row>
    <row r="147" ht="14.2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  <c r="AN147" s="10"/>
      <c r="AO147" s="10"/>
      <c r="AP147" s="10"/>
      <c r="AQ147" s="10"/>
      <c r="AR147" s="10"/>
      <c r="AS147" s="10"/>
      <c r="AT147" s="10"/>
      <c r="AU147" s="10"/>
      <c r="AV147" s="10"/>
      <c r="AW147" s="10"/>
    </row>
    <row r="148" ht="14.2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10"/>
      <c r="AO148" s="10"/>
      <c r="AP148" s="10"/>
      <c r="AQ148" s="10"/>
      <c r="AR148" s="10"/>
      <c r="AS148" s="10"/>
      <c r="AT148" s="10"/>
      <c r="AU148" s="10"/>
      <c r="AV148" s="10"/>
      <c r="AW148" s="10"/>
    </row>
    <row r="149" ht="14.2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</row>
    <row r="150" ht="14.2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  <c r="AN150" s="10"/>
      <c r="AO150" s="10"/>
      <c r="AP150" s="10"/>
      <c r="AQ150" s="10"/>
      <c r="AR150" s="10"/>
      <c r="AS150" s="10"/>
      <c r="AT150" s="10"/>
      <c r="AU150" s="10"/>
      <c r="AV150" s="10"/>
      <c r="AW150" s="10"/>
    </row>
    <row r="151" ht="14.2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  <c r="AN151" s="10"/>
      <c r="AO151" s="10"/>
      <c r="AP151" s="10"/>
      <c r="AQ151" s="10"/>
      <c r="AR151" s="10"/>
      <c r="AS151" s="10"/>
      <c r="AT151" s="10"/>
      <c r="AU151" s="10"/>
      <c r="AV151" s="10"/>
      <c r="AW151" s="10"/>
    </row>
    <row r="152" ht="14.2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  <c r="AP152" s="10"/>
      <c r="AQ152" s="10"/>
      <c r="AR152" s="10"/>
      <c r="AS152" s="10"/>
      <c r="AT152" s="10"/>
      <c r="AU152" s="10"/>
      <c r="AV152" s="10"/>
      <c r="AW152" s="10"/>
    </row>
    <row r="153" ht="14.2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  <c r="AP153" s="10"/>
      <c r="AQ153" s="10"/>
      <c r="AR153" s="10"/>
      <c r="AS153" s="10"/>
      <c r="AT153" s="10"/>
      <c r="AU153" s="10"/>
      <c r="AV153" s="10"/>
      <c r="AW153" s="10"/>
    </row>
    <row r="154" ht="14.2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  <c r="AH154" s="10"/>
      <c r="AI154" s="10"/>
      <c r="AJ154" s="10"/>
      <c r="AK154" s="10"/>
      <c r="AL154" s="10"/>
      <c r="AM154" s="10"/>
      <c r="AN154" s="10"/>
      <c r="AO154" s="10"/>
      <c r="AP154" s="10"/>
      <c r="AQ154" s="10"/>
      <c r="AR154" s="10"/>
      <c r="AS154" s="10"/>
      <c r="AT154" s="10"/>
      <c r="AU154" s="10"/>
      <c r="AV154" s="10"/>
      <c r="AW154" s="10"/>
    </row>
    <row r="155" ht="14.2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  <c r="AP155" s="10"/>
      <c r="AQ155" s="10"/>
      <c r="AR155" s="10"/>
      <c r="AS155" s="10"/>
      <c r="AT155" s="10"/>
      <c r="AU155" s="10"/>
      <c r="AV155" s="10"/>
      <c r="AW155" s="10"/>
    </row>
    <row r="156" ht="14.2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  <c r="AP156" s="10"/>
      <c r="AQ156" s="10"/>
      <c r="AR156" s="10"/>
      <c r="AS156" s="10"/>
      <c r="AT156" s="10"/>
      <c r="AU156" s="10"/>
      <c r="AV156" s="10"/>
      <c r="AW156" s="10"/>
    </row>
    <row r="157" ht="14.2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10"/>
      <c r="AR157" s="10"/>
      <c r="AS157" s="10"/>
      <c r="AT157" s="10"/>
      <c r="AU157" s="10"/>
      <c r="AV157" s="10"/>
      <c r="AW157" s="10"/>
    </row>
    <row r="158" ht="14.2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  <c r="AP158" s="10"/>
      <c r="AQ158" s="10"/>
      <c r="AR158" s="10"/>
      <c r="AS158" s="10"/>
      <c r="AT158" s="10"/>
      <c r="AU158" s="10"/>
      <c r="AV158" s="10"/>
      <c r="AW158" s="10"/>
    </row>
    <row r="159" ht="14.2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  <c r="AP159" s="10"/>
      <c r="AQ159" s="10"/>
      <c r="AR159" s="10"/>
      <c r="AS159" s="10"/>
      <c r="AT159" s="10"/>
      <c r="AU159" s="10"/>
      <c r="AV159" s="10"/>
      <c r="AW159" s="10"/>
    </row>
    <row r="160" ht="14.2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  <c r="AH160" s="10"/>
      <c r="AI160" s="10"/>
      <c r="AJ160" s="10"/>
      <c r="AK160" s="10"/>
      <c r="AL160" s="10"/>
      <c r="AM160" s="10"/>
      <c r="AN160" s="10"/>
      <c r="AO160" s="10"/>
      <c r="AP160" s="10"/>
      <c r="AQ160" s="10"/>
      <c r="AR160" s="10"/>
      <c r="AS160" s="10"/>
      <c r="AT160" s="10"/>
      <c r="AU160" s="10"/>
      <c r="AV160" s="10"/>
      <c r="AW160" s="10"/>
    </row>
    <row r="161" ht="14.2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  <c r="AM161" s="10"/>
      <c r="AN161" s="10"/>
      <c r="AO161" s="10"/>
      <c r="AP161" s="10"/>
      <c r="AQ161" s="10"/>
      <c r="AR161" s="10"/>
      <c r="AS161" s="10"/>
      <c r="AT161" s="10"/>
      <c r="AU161" s="10"/>
      <c r="AV161" s="10"/>
      <c r="AW161" s="10"/>
    </row>
    <row r="162" ht="14.2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  <c r="AH162" s="10"/>
      <c r="AI162" s="10"/>
      <c r="AJ162" s="10"/>
      <c r="AK162" s="10"/>
      <c r="AL162" s="10"/>
      <c r="AM162" s="10"/>
      <c r="AN162" s="10"/>
      <c r="AO162" s="10"/>
      <c r="AP162" s="10"/>
      <c r="AQ162" s="10"/>
      <c r="AR162" s="10"/>
      <c r="AS162" s="10"/>
      <c r="AT162" s="10"/>
      <c r="AU162" s="10"/>
      <c r="AV162" s="10"/>
      <c r="AW162" s="10"/>
    </row>
    <row r="163" ht="14.2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  <c r="AI163" s="10"/>
      <c r="AJ163" s="10"/>
      <c r="AK163" s="10"/>
      <c r="AL163" s="10"/>
      <c r="AM163" s="10"/>
      <c r="AN163" s="10"/>
      <c r="AO163" s="10"/>
      <c r="AP163" s="10"/>
      <c r="AQ163" s="10"/>
      <c r="AR163" s="10"/>
      <c r="AS163" s="10"/>
      <c r="AT163" s="10"/>
      <c r="AU163" s="10"/>
      <c r="AV163" s="10"/>
      <c r="AW163" s="10"/>
    </row>
    <row r="164" ht="14.2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  <c r="AP164" s="10"/>
      <c r="AQ164" s="10"/>
      <c r="AR164" s="10"/>
      <c r="AS164" s="10"/>
      <c r="AT164" s="10"/>
      <c r="AU164" s="10"/>
      <c r="AV164" s="10"/>
      <c r="AW164" s="10"/>
    </row>
    <row r="165" ht="14.2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  <c r="AH165" s="10"/>
      <c r="AI165" s="10"/>
      <c r="AJ165" s="10"/>
      <c r="AK165" s="10"/>
      <c r="AL165" s="10"/>
      <c r="AM165" s="10"/>
      <c r="AN165" s="10"/>
      <c r="AO165" s="10"/>
      <c r="AP165" s="10"/>
      <c r="AQ165" s="10"/>
      <c r="AR165" s="10"/>
      <c r="AS165" s="10"/>
      <c r="AT165" s="10"/>
      <c r="AU165" s="10"/>
      <c r="AV165" s="10"/>
      <c r="AW165" s="10"/>
    </row>
    <row r="166" ht="14.2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  <c r="AP166" s="10"/>
      <c r="AQ166" s="10"/>
      <c r="AR166" s="10"/>
      <c r="AS166" s="10"/>
      <c r="AT166" s="10"/>
      <c r="AU166" s="10"/>
      <c r="AV166" s="10"/>
      <c r="AW166" s="10"/>
    </row>
    <row r="167" ht="14.2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  <c r="AP167" s="10"/>
      <c r="AQ167" s="10"/>
      <c r="AR167" s="10"/>
      <c r="AS167" s="10"/>
      <c r="AT167" s="10"/>
      <c r="AU167" s="10"/>
      <c r="AV167" s="10"/>
      <c r="AW167" s="10"/>
    </row>
    <row r="168" ht="14.2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  <c r="AP168" s="10"/>
      <c r="AQ168" s="10"/>
      <c r="AR168" s="10"/>
      <c r="AS168" s="10"/>
      <c r="AT168" s="10"/>
      <c r="AU168" s="10"/>
      <c r="AV168" s="10"/>
      <c r="AW168" s="10"/>
    </row>
    <row r="169" ht="14.2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  <c r="AO169" s="10"/>
      <c r="AP169" s="10"/>
      <c r="AQ169" s="10"/>
      <c r="AR169" s="10"/>
      <c r="AS169" s="10"/>
      <c r="AT169" s="10"/>
      <c r="AU169" s="10"/>
      <c r="AV169" s="10"/>
      <c r="AW169" s="10"/>
    </row>
    <row r="170" ht="14.2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  <c r="AM170" s="10"/>
      <c r="AN170" s="10"/>
      <c r="AO170" s="10"/>
      <c r="AP170" s="10"/>
      <c r="AQ170" s="10"/>
      <c r="AR170" s="10"/>
      <c r="AS170" s="10"/>
      <c r="AT170" s="10"/>
      <c r="AU170" s="10"/>
      <c r="AV170" s="10"/>
      <c r="AW170" s="10"/>
    </row>
    <row r="171" ht="14.2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  <c r="AO171" s="10"/>
      <c r="AP171" s="10"/>
      <c r="AQ171" s="10"/>
      <c r="AR171" s="10"/>
      <c r="AS171" s="10"/>
      <c r="AT171" s="10"/>
      <c r="AU171" s="10"/>
      <c r="AV171" s="10"/>
      <c r="AW171" s="10"/>
    </row>
    <row r="172" ht="14.2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/>
      <c r="AU172" s="10"/>
      <c r="AV172" s="10"/>
      <c r="AW172" s="10"/>
    </row>
    <row r="173" ht="14.2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  <c r="AH173" s="10"/>
      <c r="AI173" s="10"/>
      <c r="AJ173" s="10"/>
      <c r="AK173" s="10"/>
      <c r="AL173" s="10"/>
      <c r="AM173" s="10"/>
      <c r="AN173" s="10"/>
      <c r="AO173" s="10"/>
      <c r="AP173" s="10"/>
      <c r="AQ173" s="10"/>
      <c r="AR173" s="10"/>
      <c r="AS173" s="10"/>
      <c r="AT173" s="10"/>
      <c r="AU173" s="10"/>
      <c r="AV173" s="10"/>
      <c r="AW173" s="10"/>
    </row>
    <row r="174" ht="14.2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  <c r="AH174" s="10"/>
      <c r="AI174" s="10"/>
      <c r="AJ174" s="10"/>
      <c r="AK174" s="10"/>
      <c r="AL174" s="10"/>
      <c r="AM174" s="10"/>
      <c r="AN174" s="10"/>
      <c r="AO174" s="10"/>
      <c r="AP174" s="10"/>
      <c r="AQ174" s="10"/>
      <c r="AR174" s="10"/>
      <c r="AS174" s="10"/>
      <c r="AT174" s="10"/>
      <c r="AU174" s="10"/>
      <c r="AV174" s="10"/>
      <c r="AW174" s="10"/>
    </row>
    <row r="175" ht="14.2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  <c r="AN175" s="10"/>
      <c r="AO175" s="10"/>
      <c r="AP175" s="10"/>
      <c r="AQ175" s="10"/>
      <c r="AR175" s="10"/>
      <c r="AS175" s="10"/>
      <c r="AT175" s="10"/>
      <c r="AU175" s="10"/>
      <c r="AV175" s="10"/>
      <c r="AW175" s="10"/>
    </row>
    <row r="176" ht="14.2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  <c r="AH176" s="10"/>
      <c r="AI176" s="10"/>
      <c r="AJ176" s="10"/>
      <c r="AK176" s="10"/>
      <c r="AL176" s="10"/>
      <c r="AM176" s="10"/>
      <c r="AN176" s="10"/>
      <c r="AO176" s="10"/>
      <c r="AP176" s="10"/>
      <c r="AQ176" s="10"/>
      <c r="AR176" s="10"/>
      <c r="AS176" s="10"/>
      <c r="AT176" s="10"/>
      <c r="AU176" s="10"/>
      <c r="AV176" s="10"/>
      <c r="AW176" s="10"/>
    </row>
    <row r="177" ht="14.2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  <c r="AN177" s="10"/>
      <c r="AO177" s="10"/>
      <c r="AP177" s="10"/>
      <c r="AQ177" s="10"/>
      <c r="AR177" s="10"/>
      <c r="AS177" s="10"/>
      <c r="AT177" s="10"/>
      <c r="AU177" s="10"/>
      <c r="AV177" s="10"/>
      <c r="AW177" s="10"/>
    </row>
    <row r="178" ht="14.2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  <c r="AM178" s="10"/>
      <c r="AN178" s="10"/>
      <c r="AO178" s="10"/>
      <c r="AP178" s="10"/>
      <c r="AQ178" s="10"/>
      <c r="AR178" s="10"/>
      <c r="AS178" s="10"/>
      <c r="AT178" s="10"/>
      <c r="AU178" s="10"/>
      <c r="AV178" s="10"/>
      <c r="AW178" s="10"/>
    </row>
    <row r="179" ht="14.2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  <c r="AN179" s="10"/>
      <c r="AO179" s="10"/>
      <c r="AP179" s="10"/>
      <c r="AQ179" s="10"/>
      <c r="AR179" s="10"/>
      <c r="AS179" s="10"/>
      <c r="AT179" s="10"/>
      <c r="AU179" s="10"/>
      <c r="AV179" s="10"/>
      <c r="AW179" s="10"/>
    </row>
    <row r="180" ht="14.2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  <c r="AM180" s="10"/>
      <c r="AN180" s="10"/>
      <c r="AO180" s="10"/>
      <c r="AP180" s="10"/>
      <c r="AQ180" s="10"/>
      <c r="AR180" s="10"/>
      <c r="AS180" s="10"/>
      <c r="AT180" s="10"/>
      <c r="AU180" s="10"/>
      <c r="AV180" s="10"/>
      <c r="AW180" s="10"/>
    </row>
    <row r="181" ht="14.2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  <c r="AI181" s="10"/>
      <c r="AJ181" s="10"/>
      <c r="AK181" s="10"/>
      <c r="AL181" s="10"/>
      <c r="AM181" s="10"/>
      <c r="AN181" s="10"/>
      <c r="AO181" s="10"/>
      <c r="AP181" s="10"/>
      <c r="AQ181" s="10"/>
      <c r="AR181" s="10"/>
      <c r="AS181" s="10"/>
      <c r="AT181" s="10"/>
      <c r="AU181" s="10"/>
      <c r="AV181" s="10"/>
      <c r="AW181" s="10"/>
    </row>
    <row r="182" ht="14.2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  <c r="AP182" s="10"/>
      <c r="AQ182" s="10"/>
      <c r="AR182" s="10"/>
      <c r="AS182" s="10"/>
      <c r="AT182" s="10"/>
      <c r="AU182" s="10"/>
      <c r="AV182" s="10"/>
      <c r="AW182" s="10"/>
    </row>
    <row r="183" ht="14.2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10"/>
      <c r="AR183" s="10"/>
      <c r="AS183" s="10"/>
      <c r="AT183" s="10"/>
      <c r="AU183" s="10"/>
      <c r="AV183" s="10"/>
      <c r="AW183" s="10"/>
    </row>
    <row r="184" ht="14.2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  <c r="AP184" s="10"/>
      <c r="AQ184" s="10"/>
      <c r="AR184" s="10"/>
      <c r="AS184" s="10"/>
      <c r="AT184" s="10"/>
      <c r="AU184" s="10"/>
      <c r="AV184" s="10"/>
      <c r="AW184" s="10"/>
    </row>
    <row r="185" ht="14.2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</row>
    <row r="186" ht="14.2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</row>
    <row r="187" ht="14.2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</row>
    <row r="188" ht="14.2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</row>
    <row r="189" ht="14.2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</row>
    <row r="190" ht="14.2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</row>
    <row r="191" ht="14.2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</row>
    <row r="192" ht="14.2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</row>
    <row r="193" ht="14.2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</row>
    <row r="194" ht="14.2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</row>
    <row r="195" ht="14.2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</row>
    <row r="196" ht="14.2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</row>
    <row r="197" ht="14.2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</row>
    <row r="198" ht="14.2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</row>
    <row r="199" ht="14.2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</row>
    <row r="200" ht="14.2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</row>
    <row r="201" ht="14.2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</row>
    <row r="202" ht="14.2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</row>
    <row r="203" ht="14.2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</row>
    <row r="204" ht="14.2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</row>
    <row r="205" ht="14.2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</row>
    <row r="206" ht="14.2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</row>
    <row r="207" ht="14.2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</row>
    <row r="208" ht="14.2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</row>
    <row r="209" ht="14.2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</row>
    <row r="210" ht="14.2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</row>
    <row r="211" ht="14.2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</row>
    <row r="212" ht="14.2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</row>
    <row r="213" ht="14.2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</row>
    <row r="214" ht="14.2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</row>
    <row r="215" ht="14.2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</row>
    <row r="216" ht="14.2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</row>
    <row r="217" ht="14.2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</row>
    <row r="218" ht="14.2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</row>
    <row r="219" ht="14.2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</row>
    <row r="220" ht="14.2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</row>
    <row r="221" ht="14.2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  <c r="AE221" s="10"/>
      <c r="AF221" s="10"/>
      <c r="AG221" s="10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</row>
    <row r="222" ht="14.2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  <c r="AE222" s="10"/>
      <c r="AF222" s="10"/>
      <c r="AG222" s="10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</row>
    <row r="223" ht="14.2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  <c r="AE223" s="10"/>
      <c r="AF223" s="10"/>
      <c r="AG223" s="10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</row>
    <row r="224" ht="14.2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  <c r="AE224" s="10"/>
      <c r="AF224" s="10"/>
      <c r="AG224" s="10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</row>
    <row r="225" ht="14.2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  <c r="AE225" s="10"/>
      <c r="AF225" s="10"/>
      <c r="AG225" s="10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</row>
    <row r="226" ht="14.2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  <c r="AE226" s="10"/>
      <c r="AF226" s="10"/>
      <c r="AG226" s="10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</row>
    <row r="227" ht="14.2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  <c r="AE227" s="10"/>
      <c r="AF227" s="10"/>
      <c r="AG227" s="10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</row>
    <row r="228" ht="14.2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  <c r="AE228" s="10"/>
      <c r="AF228" s="10"/>
      <c r="AG228" s="10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</row>
    <row r="229" ht="14.2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  <c r="AE229" s="10"/>
      <c r="AF229" s="10"/>
      <c r="AG229" s="10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</row>
    <row r="230" ht="14.2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  <c r="AE230" s="10"/>
      <c r="AF230" s="10"/>
      <c r="AG230" s="10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</row>
    <row r="231" ht="14.2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  <c r="AE231" s="10"/>
      <c r="AF231" s="10"/>
      <c r="AG231" s="10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</row>
    <row r="232" ht="14.2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  <c r="AE232" s="10"/>
      <c r="AF232" s="10"/>
      <c r="AG232" s="10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</row>
    <row r="233" ht="14.2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  <c r="AE233" s="10"/>
      <c r="AF233" s="10"/>
      <c r="AG233" s="10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</row>
    <row r="234" ht="14.2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  <c r="AE234" s="10"/>
      <c r="AF234" s="10"/>
      <c r="AG234" s="10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</row>
    <row r="235" ht="14.2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  <c r="AE235" s="10"/>
      <c r="AF235" s="10"/>
      <c r="AG235" s="10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</row>
    <row r="236" ht="14.2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  <c r="AE236" s="10"/>
      <c r="AF236" s="10"/>
      <c r="AG236" s="10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</row>
    <row r="237" ht="14.2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  <c r="AE237" s="10"/>
      <c r="AF237" s="10"/>
      <c r="AG237" s="10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</row>
    <row r="238" ht="14.2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  <c r="AE238" s="10"/>
      <c r="AF238" s="10"/>
      <c r="AG238" s="10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</row>
    <row r="239" ht="14.2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  <c r="AE239" s="10"/>
      <c r="AF239" s="10"/>
      <c r="AG239" s="10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</row>
    <row r="240" ht="14.2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  <c r="AE240" s="10"/>
      <c r="AF240" s="10"/>
      <c r="AG240" s="10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</row>
    <row r="241" ht="14.2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  <c r="AE241" s="10"/>
      <c r="AF241" s="10"/>
      <c r="AG241" s="10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</row>
    <row r="242" ht="14.2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  <c r="AE242" s="10"/>
      <c r="AF242" s="10"/>
      <c r="AG242" s="10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</row>
    <row r="243" ht="14.2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  <c r="AE243" s="10"/>
      <c r="AF243" s="10"/>
      <c r="AG243" s="10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</row>
    <row r="244" ht="14.2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  <c r="AE244" s="10"/>
      <c r="AF244" s="10"/>
      <c r="AG244" s="10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</row>
    <row r="245" ht="14.2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  <c r="AE245" s="10"/>
      <c r="AF245" s="10"/>
      <c r="AG245" s="10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</row>
    <row r="246" ht="14.2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  <c r="AE246" s="10"/>
      <c r="AF246" s="10"/>
      <c r="AG246" s="10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</row>
    <row r="247" ht="14.2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  <c r="AE247" s="10"/>
      <c r="AF247" s="10"/>
      <c r="AG247" s="10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</row>
    <row r="248" ht="14.2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  <c r="AE248" s="10"/>
      <c r="AF248" s="10"/>
      <c r="AG248" s="10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</row>
    <row r="249" ht="14.2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  <c r="AE249" s="10"/>
      <c r="AF249" s="10"/>
      <c r="AG249" s="10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</row>
    <row r="250" ht="14.2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  <c r="AE250" s="10"/>
      <c r="AF250" s="10"/>
      <c r="AG250" s="10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</row>
    <row r="251" ht="14.2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  <c r="AE251" s="10"/>
      <c r="AF251" s="10"/>
      <c r="AG251" s="10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</row>
    <row r="252" ht="14.2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  <c r="AE252" s="10"/>
      <c r="AF252" s="10"/>
      <c r="AG252" s="10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</row>
    <row r="253" ht="14.2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  <c r="AE253" s="10"/>
      <c r="AF253" s="10"/>
      <c r="AG253" s="10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</row>
    <row r="254" ht="14.2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  <c r="AE254" s="10"/>
      <c r="AF254" s="10"/>
      <c r="AG254" s="10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</row>
    <row r="255" ht="14.2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  <c r="AE255" s="10"/>
      <c r="AF255" s="10"/>
      <c r="AG255" s="10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</row>
    <row r="256" ht="14.2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  <c r="AE256" s="10"/>
      <c r="AF256" s="10"/>
      <c r="AG256" s="10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</row>
    <row r="257" ht="14.2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  <c r="AE257" s="10"/>
      <c r="AF257" s="10"/>
      <c r="AG257" s="10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</row>
    <row r="258" ht="14.2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  <c r="AE258" s="10"/>
      <c r="AF258" s="10"/>
      <c r="AG258" s="10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</row>
    <row r="259" ht="14.2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  <c r="AE259" s="10"/>
      <c r="AF259" s="10"/>
      <c r="AG259" s="10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</row>
    <row r="260" ht="14.2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  <c r="AE260" s="10"/>
      <c r="AF260" s="10"/>
      <c r="AG260" s="10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</row>
    <row r="261" ht="14.2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  <c r="AE261" s="10"/>
      <c r="AF261" s="10"/>
      <c r="AG261" s="10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</row>
    <row r="262" ht="14.2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  <c r="AE262" s="10"/>
      <c r="AF262" s="10"/>
      <c r="AG262" s="10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</row>
    <row r="263" ht="14.2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  <c r="AE263" s="10"/>
      <c r="AF263" s="10"/>
      <c r="AG263" s="10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</row>
    <row r="264" ht="14.2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  <c r="AE264" s="10"/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</row>
    <row r="265" ht="14.2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  <c r="AE265" s="10"/>
      <c r="AF265" s="10"/>
      <c r="AG265" s="10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</row>
    <row r="266" ht="14.2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  <c r="AE266" s="10"/>
      <c r="AF266" s="10"/>
      <c r="AG266" s="10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</row>
    <row r="267" ht="14.2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  <c r="AE267" s="10"/>
      <c r="AF267" s="10"/>
      <c r="AG267" s="10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</row>
    <row r="268" ht="14.2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  <c r="AE268" s="10"/>
      <c r="AF268" s="10"/>
      <c r="AG268" s="10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</row>
    <row r="269" ht="14.2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  <c r="AE269" s="10"/>
      <c r="AF269" s="10"/>
      <c r="AG269" s="10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</row>
    <row r="270" ht="14.2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  <c r="AE270" s="10"/>
      <c r="AF270" s="10"/>
      <c r="AG270" s="10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</row>
    <row r="271" ht="14.2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  <c r="AE271" s="10"/>
      <c r="AF271" s="10"/>
      <c r="AG271" s="10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</row>
    <row r="272" ht="14.2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  <c r="AE272" s="10"/>
      <c r="AF272" s="10"/>
      <c r="AG272" s="10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</row>
    <row r="273" ht="14.2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  <c r="AE273" s="10"/>
      <c r="AF273" s="10"/>
      <c r="AG273" s="10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</row>
    <row r="274" ht="14.2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  <c r="AE274" s="10"/>
      <c r="AF274" s="10"/>
      <c r="AG274" s="10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</row>
    <row r="275" ht="14.2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  <c r="AE275" s="10"/>
      <c r="AF275" s="10"/>
      <c r="AG275" s="10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</row>
    <row r="276" ht="14.2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  <c r="AE276" s="10"/>
      <c r="AF276" s="10"/>
      <c r="AG276" s="10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</row>
    <row r="277" ht="14.2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  <c r="AE277" s="10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</row>
    <row r="278" ht="14.2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  <c r="AE278" s="10"/>
      <c r="AF278" s="10"/>
      <c r="AG278" s="10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</row>
    <row r="279" ht="14.2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  <c r="AE279" s="10"/>
      <c r="AF279" s="10"/>
      <c r="AG279" s="10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</row>
    <row r="280" ht="14.2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  <c r="AE280" s="10"/>
      <c r="AF280" s="10"/>
      <c r="AG280" s="10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</row>
    <row r="281" ht="14.2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  <c r="AE281" s="10"/>
      <c r="AF281" s="10"/>
      <c r="AG281" s="10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</row>
    <row r="282" ht="14.2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  <c r="AE282" s="10"/>
      <c r="AF282" s="10"/>
      <c r="AG282" s="10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</row>
    <row r="283" ht="14.2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  <c r="AE283" s="10"/>
      <c r="AF283" s="10"/>
      <c r="AG283" s="10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</row>
    <row r="284" ht="14.2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</row>
    <row r="285" ht="14.2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  <c r="AE285" s="10"/>
      <c r="AF285" s="10"/>
      <c r="AG285" s="10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</row>
    <row r="286" ht="14.2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</row>
    <row r="287" ht="14.2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0"/>
      <c r="AF287" s="10"/>
      <c r="AG287" s="10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</row>
    <row r="288" ht="14.2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  <c r="AE288" s="10"/>
      <c r="AF288" s="10"/>
      <c r="AG288" s="10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</row>
    <row r="289" ht="14.2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  <c r="AE289" s="10"/>
      <c r="AF289" s="10"/>
      <c r="AG289" s="10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</row>
    <row r="290" ht="14.2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  <c r="AE290" s="10"/>
      <c r="AF290" s="10"/>
      <c r="AG290" s="10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</row>
    <row r="291" ht="14.2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  <c r="AE291" s="10"/>
      <c r="AF291" s="10"/>
      <c r="AG291" s="10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</row>
    <row r="292" ht="14.2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  <c r="AE292" s="10"/>
      <c r="AF292" s="10"/>
      <c r="AG292" s="10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</row>
    <row r="293" ht="14.2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  <c r="AE293" s="10"/>
      <c r="AF293" s="10"/>
      <c r="AG293" s="10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</row>
    <row r="294" ht="14.2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  <c r="AE294" s="10"/>
      <c r="AF294" s="10"/>
      <c r="AG294" s="10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</row>
    <row r="295" ht="14.2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  <c r="AE295" s="10"/>
      <c r="AF295" s="10"/>
      <c r="AG295" s="10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</row>
    <row r="296" ht="14.2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  <c r="AE296" s="10"/>
      <c r="AF296" s="10"/>
      <c r="AG296" s="10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</row>
    <row r="297" ht="14.2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  <c r="AE297" s="10"/>
      <c r="AF297" s="10"/>
      <c r="AG297" s="10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</row>
    <row r="298" ht="14.2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  <c r="AE298" s="10"/>
      <c r="AF298" s="10"/>
      <c r="AG298" s="10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</row>
    <row r="299" ht="14.2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  <c r="AE299" s="10"/>
      <c r="AF299" s="10"/>
      <c r="AG299" s="10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</row>
    <row r="300" ht="14.2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  <c r="AE300" s="10"/>
      <c r="AF300" s="10"/>
      <c r="AG300" s="10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</row>
    <row r="301" ht="14.2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  <c r="AE301" s="10"/>
      <c r="AF301" s="10"/>
      <c r="AG301" s="10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</row>
    <row r="302" ht="14.2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  <c r="AE302" s="10"/>
      <c r="AF302" s="10"/>
      <c r="AG302" s="10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</row>
    <row r="303" ht="14.2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</row>
    <row r="304" ht="14.2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  <c r="AE304" s="10"/>
      <c r="AF304" s="10"/>
      <c r="AG304" s="10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</row>
    <row r="305" ht="14.2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</row>
    <row r="306" ht="14.2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  <c r="AE306" s="10"/>
      <c r="AF306" s="10"/>
      <c r="AG306" s="10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</row>
    <row r="307" ht="14.2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</row>
    <row r="308" ht="14.2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  <c r="AE308" s="10"/>
      <c r="AF308" s="10"/>
      <c r="AG308" s="10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</row>
    <row r="309" ht="14.2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  <c r="AE309" s="10"/>
      <c r="AF309" s="10"/>
      <c r="AG309" s="10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</row>
    <row r="310" ht="14.2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  <c r="AE310" s="10"/>
      <c r="AF310" s="10"/>
      <c r="AG310" s="10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</row>
    <row r="311" ht="14.2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  <c r="AE311" s="10"/>
      <c r="AF311" s="10"/>
      <c r="AG311" s="10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</row>
    <row r="312" ht="14.2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  <c r="AE312" s="10"/>
      <c r="AF312" s="10"/>
      <c r="AG312" s="10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</row>
    <row r="313" ht="14.2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  <c r="AE313" s="10"/>
      <c r="AF313" s="10"/>
      <c r="AG313" s="10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</row>
    <row r="314" ht="14.2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  <c r="AE314" s="10"/>
      <c r="AF314" s="10"/>
      <c r="AG314" s="10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</row>
    <row r="315" ht="14.2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  <c r="AE315" s="10"/>
      <c r="AF315" s="10"/>
      <c r="AG315" s="10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</row>
    <row r="316" ht="14.2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  <c r="AE316" s="10"/>
      <c r="AF316" s="10"/>
      <c r="AG316" s="10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</row>
    <row r="317" ht="14.2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  <c r="AE317" s="10"/>
      <c r="AF317" s="10"/>
      <c r="AG317" s="10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</row>
    <row r="318" ht="14.2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  <c r="AE318" s="10"/>
      <c r="AF318" s="10"/>
      <c r="AG318" s="10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</row>
    <row r="319" ht="14.2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  <c r="AE319" s="10"/>
      <c r="AF319" s="10"/>
      <c r="AG319" s="10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</row>
    <row r="320" ht="14.2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  <c r="AE320" s="10"/>
      <c r="AF320" s="10"/>
      <c r="AG320" s="10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</row>
    <row r="321" ht="14.2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  <c r="AE321" s="10"/>
      <c r="AF321" s="10"/>
      <c r="AG321" s="10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</row>
    <row r="322" ht="14.2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  <c r="AE322" s="10"/>
      <c r="AF322" s="10"/>
      <c r="AG322" s="10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</row>
    <row r="323" ht="14.2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  <c r="AE323" s="10"/>
      <c r="AF323" s="10"/>
      <c r="AG323" s="10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</row>
    <row r="324" ht="14.2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  <c r="AE324" s="10"/>
      <c r="AF324" s="10"/>
      <c r="AG324" s="10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</row>
    <row r="325" ht="14.2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  <c r="AE325" s="10"/>
      <c r="AF325" s="10"/>
      <c r="AG325" s="10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</row>
    <row r="326" ht="14.2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  <c r="AE326" s="10"/>
      <c r="AF326" s="10"/>
      <c r="AG326" s="10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</row>
    <row r="327" ht="14.2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  <c r="AE327" s="10"/>
      <c r="AF327" s="10"/>
      <c r="AG327" s="10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</row>
    <row r="328" ht="14.2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  <c r="AE328" s="10"/>
      <c r="AF328" s="10"/>
      <c r="AG328" s="10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</row>
    <row r="329" ht="14.2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  <c r="AE329" s="10"/>
      <c r="AF329" s="10"/>
      <c r="AG329" s="10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</row>
    <row r="330" ht="14.2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  <c r="AE330" s="10"/>
      <c r="AF330" s="10"/>
      <c r="AG330" s="10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</row>
    <row r="331" ht="14.2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  <c r="AE331" s="10"/>
      <c r="AF331" s="10"/>
      <c r="AG331" s="10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</row>
    <row r="332" ht="14.2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  <c r="AE332" s="10"/>
      <c r="AF332" s="10"/>
      <c r="AG332" s="10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</row>
    <row r="333" ht="14.2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  <c r="AF333" s="10"/>
      <c r="AG333" s="10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</row>
    <row r="334" ht="14.2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  <c r="AE334" s="10"/>
      <c r="AF334" s="10"/>
      <c r="AG334" s="10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</row>
    <row r="335" ht="14.2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  <c r="AE335" s="10"/>
      <c r="AF335" s="10"/>
      <c r="AG335" s="10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</row>
    <row r="336" ht="14.2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  <c r="AE336" s="10"/>
      <c r="AF336" s="10"/>
      <c r="AG336" s="10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</row>
    <row r="337" ht="14.2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</row>
    <row r="338" ht="14.2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</row>
    <row r="339" ht="14.2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</row>
    <row r="340" ht="14.2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</row>
    <row r="341" ht="14.2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</row>
    <row r="342" ht="14.2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</row>
    <row r="343" ht="14.2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</row>
    <row r="344" ht="14.2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</row>
    <row r="345" ht="14.2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</row>
    <row r="346" ht="14.2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</row>
    <row r="347" ht="14.2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</row>
    <row r="348" ht="14.2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</row>
    <row r="349" ht="14.2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</row>
    <row r="350" ht="14.2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</row>
    <row r="351" ht="14.2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</row>
    <row r="352" ht="14.2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</row>
    <row r="353" ht="14.2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</row>
    <row r="354" ht="14.2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</row>
    <row r="355" ht="14.2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</row>
    <row r="356" ht="14.2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</row>
    <row r="357" ht="14.2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</row>
    <row r="358" ht="14.2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</row>
    <row r="359" ht="14.2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</row>
    <row r="360" ht="14.2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</row>
    <row r="361" ht="14.2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</row>
    <row r="362" ht="14.2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</row>
    <row r="363" ht="14.2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</row>
    <row r="364" ht="14.2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</row>
    <row r="365" ht="14.2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</row>
    <row r="366" ht="14.2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</row>
    <row r="367" ht="14.2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</row>
    <row r="368" ht="14.2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</row>
    <row r="369" ht="14.2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</row>
    <row r="370" ht="14.2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</row>
    <row r="371" ht="14.2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</row>
    <row r="372" ht="14.2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</row>
    <row r="373" ht="14.2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</row>
    <row r="374" ht="14.2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</row>
    <row r="375" ht="14.2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</row>
    <row r="376" ht="14.2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</row>
    <row r="377" ht="14.2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</row>
    <row r="378" ht="14.2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</row>
    <row r="379" ht="14.2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</row>
    <row r="380" ht="14.2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</row>
    <row r="381" ht="14.2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</row>
    <row r="382" ht="14.2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</row>
    <row r="383" ht="14.2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</row>
    <row r="384" ht="14.2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</row>
    <row r="385" ht="14.2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</row>
    <row r="386" ht="14.2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</row>
    <row r="387" ht="14.2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</row>
    <row r="388" ht="14.2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</row>
    <row r="389" ht="14.2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</row>
    <row r="390" ht="14.2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</row>
    <row r="391" ht="14.2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</row>
    <row r="392" ht="14.2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</row>
    <row r="393" ht="14.2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</row>
    <row r="394" ht="14.2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</row>
    <row r="395" ht="14.2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</row>
    <row r="396" ht="14.2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</row>
    <row r="397" ht="14.2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</row>
    <row r="398" ht="14.2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</row>
    <row r="399" ht="14.2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</row>
    <row r="400" ht="14.2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</row>
    <row r="401" ht="14.2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</row>
    <row r="402" ht="14.2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</row>
    <row r="403" ht="14.2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</row>
    <row r="404" ht="14.2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</row>
    <row r="405" ht="14.2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</row>
    <row r="406" ht="14.2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</row>
    <row r="407" ht="14.2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</row>
    <row r="408" ht="14.2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</row>
    <row r="409" ht="14.2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</row>
    <row r="410" ht="14.2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</row>
    <row r="411" ht="14.2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</row>
    <row r="412" ht="14.2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</row>
    <row r="413" ht="14.2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</row>
    <row r="414" ht="14.2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</row>
    <row r="415" ht="14.2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</row>
    <row r="416" ht="14.2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</row>
    <row r="417" ht="14.2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</row>
    <row r="418" ht="14.2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</row>
    <row r="419" ht="14.2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</row>
    <row r="420" ht="14.2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</row>
    <row r="421" ht="14.2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</row>
    <row r="422" ht="14.2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</row>
    <row r="423" ht="14.2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</row>
    <row r="424" ht="14.2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</row>
    <row r="425" ht="14.2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</row>
    <row r="426" ht="14.2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</row>
    <row r="427" ht="14.2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</row>
    <row r="428" ht="14.2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</row>
    <row r="429" ht="14.2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</row>
    <row r="430" ht="14.2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</row>
    <row r="431" ht="14.2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</row>
    <row r="432" ht="14.2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</row>
    <row r="433" ht="14.2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</row>
    <row r="434" ht="14.2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</row>
    <row r="435" ht="14.2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</row>
    <row r="436" ht="14.2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</row>
    <row r="437" ht="14.2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</row>
    <row r="438" ht="14.2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</row>
    <row r="439" ht="14.2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</row>
    <row r="440" ht="14.2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</row>
    <row r="441" ht="14.2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</row>
    <row r="442" ht="14.2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</row>
    <row r="443" ht="14.2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</row>
    <row r="444" ht="14.2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</row>
    <row r="445" ht="14.2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</row>
    <row r="446" ht="14.2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</row>
    <row r="447" ht="14.2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</row>
    <row r="448" ht="14.2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</row>
    <row r="449" ht="14.2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</row>
    <row r="450" ht="14.2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</row>
    <row r="451" ht="14.2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</row>
    <row r="452" ht="14.2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</row>
    <row r="453" ht="14.2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</row>
    <row r="454" ht="14.2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</row>
    <row r="455" ht="14.2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</row>
    <row r="456" ht="14.2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</row>
    <row r="457" ht="14.2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</row>
    <row r="458" ht="14.2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</row>
    <row r="459" ht="14.2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</row>
    <row r="460" ht="14.2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</row>
    <row r="461" ht="14.2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</row>
    <row r="462" ht="14.2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</row>
    <row r="463" ht="14.2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</row>
    <row r="464" ht="14.2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</row>
    <row r="465" ht="14.2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</row>
    <row r="466" ht="14.2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</row>
    <row r="467" ht="14.2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</row>
    <row r="468" ht="14.2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</row>
    <row r="469" ht="14.2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</row>
    <row r="470" ht="14.2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</row>
    <row r="471" ht="14.2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</row>
    <row r="472" ht="14.2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</row>
    <row r="473" ht="14.2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</row>
    <row r="474" ht="14.2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</row>
    <row r="475" ht="14.2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</row>
    <row r="476" ht="14.2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</row>
    <row r="477" ht="14.2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</row>
    <row r="478" ht="14.2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</row>
    <row r="479" ht="14.2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</row>
    <row r="480" ht="14.2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</row>
    <row r="481" ht="14.2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</row>
    <row r="482" ht="14.2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</row>
    <row r="483" ht="14.2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</row>
    <row r="484" ht="14.2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</row>
    <row r="485" ht="14.2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</row>
    <row r="486" ht="14.2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</row>
    <row r="487" ht="14.2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</row>
    <row r="488" ht="14.2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</row>
    <row r="489" ht="14.2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</row>
    <row r="490" ht="14.2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</row>
    <row r="491" ht="14.2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</row>
    <row r="492" ht="14.2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</row>
    <row r="493" ht="14.2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</row>
    <row r="494" ht="14.2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</row>
    <row r="495" ht="14.2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</row>
    <row r="496" ht="14.2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</row>
    <row r="497" ht="14.2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</row>
    <row r="498" ht="14.2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</row>
    <row r="499" ht="14.2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</row>
    <row r="500" ht="14.2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</row>
    <row r="501" ht="14.2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</row>
    <row r="502" ht="14.2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</row>
    <row r="503" ht="14.2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</row>
    <row r="504" ht="14.2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</row>
    <row r="505" ht="14.2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</row>
    <row r="506" ht="14.2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</row>
    <row r="507" ht="14.2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</row>
    <row r="508" ht="14.2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</row>
    <row r="509" ht="14.2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</row>
    <row r="510" ht="14.2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</row>
    <row r="511" ht="14.2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</row>
    <row r="512" ht="14.2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</row>
    <row r="513" ht="14.2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</row>
    <row r="514" ht="14.2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</row>
    <row r="515" ht="14.2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</row>
    <row r="516" ht="14.2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</row>
    <row r="517" ht="14.2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</row>
    <row r="518" ht="14.2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</row>
    <row r="519" ht="14.2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</row>
    <row r="520" ht="14.2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</row>
    <row r="521" ht="14.2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</row>
    <row r="522" ht="14.2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</row>
    <row r="523" ht="14.2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</row>
    <row r="524" ht="14.2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</row>
    <row r="525" ht="14.2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</row>
    <row r="526" ht="14.2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</row>
    <row r="527" ht="14.2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</row>
    <row r="528" ht="14.2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</row>
    <row r="529" ht="14.2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</row>
    <row r="530" ht="14.2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</row>
    <row r="531" ht="14.2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</row>
    <row r="532" ht="14.2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</row>
    <row r="533" ht="14.2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</row>
    <row r="534" ht="14.2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</row>
    <row r="535" ht="14.2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</row>
    <row r="536" ht="14.2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</row>
    <row r="537" ht="14.2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  <c r="AF537" s="10"/>
      <c r="AG537" s="10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</row>
    <row r="538" ht="14.2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  <c r="AF538" s="10"/>
      <c r="AG538" s="10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</row>
    <row r="539" ht="14.2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  <c r="AF539" s="10"/>
      <c r="AG539" s="10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</row>
    <row r="540" ht="14.2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  <c r="AF540" s="10"/>
      <c r="AG540" s="10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</row>
    <row r="541" ht="14.2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  <c r="AF541" s="10"/>
      <c r="AG541" s="10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</row>
    <row r="542" ht="14.2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  <c r="AG542" s="10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</row>
    <row r="543" ht="14.2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  <c r="AF543" s="10"/>
      <c r="AG543" s="10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</row>
    <row r="544" ht="14.2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  <c r="AF544" s="10"/>
      <c r="AG544" s="10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</row>
    <row r="545" ht="14.2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  <c r="AF545" s="10"/>
      <c r="AG545" s="10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</row>
    <row r="546" ht="14.2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  <c r="AF546" s="10"/>
      <c r="AG546" s="10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</row>
    <row r="547" ht="14.2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  <c r="AE547" s="10"/>
      <c r="AF547" s="10"/>
      <c r="AG547" s="10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</row>
    <row r="548" ht="14.2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  <c r="AE548" s="10"/>
      <c r="AF548" s="10"/>
      <c r="AG548" s="10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</row>
    <row r="549" ht="14.2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  <c r="AF549" s="10"/>
      <c r="AG549" s="10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</row>
    <row r="550" ht="14.2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  <c r="AG550" s="10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</row>
    <row r="551" ht="14.2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  <c r="AG551" s="10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</row>
    <row r="552" ht="14.2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  <c r="AF552" s="10"/>
      <c r="AG552" s="10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</row>
    <row r="553" ht="14.2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  <c r="AF553" s="10"/>
      <c r="AG553" s="10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</row>
    <row r="554" ht="14.2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  <c r="AF554" s="10"/>
      <c r="AG554" s="10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</row>
    <row r="555" ht="14.2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  <c r="AF555" s="10"/>
      <c r="AG555" s="10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</row>
    <row r="556" ht="14.2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  <c r="AF556" s="10"/>
      <c r="AG556" s="10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</row>
    <row r="557" ht="14.2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  <c r="AF557" s="10"/>
      <c r="AG557" s="10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</row>
    <row r="558" ht="14.2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  <c r="AG558" s="10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</row>
    <row r="559" ht="14.2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  <c r="AG559" s="10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</row>
    <row r="560" ht="14.2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  <c r="AG560" s="10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</row>
    <row r="561" ht="14.2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  <c r="AG561" s="10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</row>
    <row r="562" ht="14.2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  <c r="AG562" s="10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</row>
    <row r="563" ht="14.2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  <c r="AG563" s="10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</row>
    <row r="564" ht="14.2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  <c r="AG564" s="10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</row>
    <row r="565" ht="14.2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  <c r="AF565" s="10"/>
      <c r="AG565" s="10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</row>
    <row r="566" ht="14.2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  <c r="AG566" s="10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</row>
    <row r="567" ht="14.2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  <c r="AG567" s="10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</row>
    <row r="568" ht="14.2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  <c r="AG568" s="10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</row>
    <row r="569" ht="14.2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  <c r="AG569" s="10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</row>
    <row r="570" ht="14.2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  <c r="AG570" s="10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</row>
    <row r="571" ht="14.2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  <c r="AG571" s="10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</row>
    <row r="572" ht="14.2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  <c r="AG572" s="10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</row>
    <row r="573" ht="14.2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  <c r="AF573" s="10"/>
      <c r="AG573" s="10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</row>
    <row r="574" ht="14.2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  <c r="AF574" s="10"/>
      <c r="AG574" s="10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</row>
    <row r="575" ht="14.2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  <c r="AF575" s="10"/>
      <c r="AG575" s="10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</row>
    <row r="576" ht="14.2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  <c r="AF576" s="10"/>
      <c r="AG576" s="10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</row>
    <row r="577" ht="14.2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  <c r="AF577" s="10"/>
      <c r="AG577" s="10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</row>
    <row r="578" ht="14.2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  <c r="AF578" s="10"/>
      <c r="AG578" s="10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</row>
    <row r="579" ht="14.2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  <c r="AF579" s="10"/>
      <c r="AG579" s="10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</row>
    <row r="580" ht="14.2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  <c r="AF580" s="10"/>
      <c r="AG580" s="10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</row>
    <row r="581" ht="14.2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  <c r="AF581" s="10"/>
      <c r="AG581" s="10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</row>
    <row r="582" ht="14.2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  <c r="AF582" s="10"/>
      <c r="AG582" s="10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</row>
    <row r="583" ht="14.2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  <c r="AE583" s="10"/>
      <c r="AF583" s="10"/>
      <c r="AG583" s="10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</row>
    <row r="584" ht="14.2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  <c r="AE584" s="10"/>
      <c r="AF584" s="10"/>
      <c r="AG584" s="10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</row>
    <row r="585" ht="14.2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  <c r="AF585" s="10"/>
      <c r="AG585" s="10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</row>
    <row r="586" ht="14.2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  <c r="AF586" s="10"/>
      <c r="AG586" s="10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</row>
    <row r="587" ht="14.2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  <c r="AF587" s="10"/>
      <c r="AG587" s="10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</row>
    <row r="588" ht="14.2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  <c r="AF588" s="10"/>
      <c r="AG588" s="10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</row>
    <row r="589" ht="14.2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  <c r="AF589" s="10"/>
      <c r="AG589" s="10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</row>
    <row r="590" ht="14.2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  <c r="AF590" s="10"/>
      <c r="AG590" s="10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</row>
    <row r="591" ht="14.2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  <c r="AF591" s="10"/>
      <c r="AG591" s="10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</row>
    <row r="592" ht="14.2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  <c r="AF592" s="10"/>
      <c r="AG592" s="10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</row>
    <row r="593" ht="14.2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  <c r="AG593" s="10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</row>
    <row r="594" ht="14.2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  <c r="AF594" s="10"/>
      <c r="AG594" s="10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</row>
    <row r="595" ht="14.2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  <c r="AE595" s="10"/>
      <c r="AF595" s="10"/>
      <c r="AG595" s="10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</row>
    <row r="596" ht="14.2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  <c r="AE596" s="10"/>
      <c r="AF596" s="10"/>
      <c r="AG596" s="10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</row>
    <row r="597" ht="14.2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  <c r="AF597" s="10"/>
      <c r="AG597" s="10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</row>
    <row r="598" ht="14.2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  <c r="AF598" s="10"/>
      <c r="AG598" s="10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</row>
    <row r="599" ht="14.2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  <c r="AF599" s="10"/>
      <c r="AG599" s="10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</row>
    <row r="600" ht="14.2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  <c r="AF600" s="10"/>
      <c r="AG600" s="10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</row>
    <row r="601" ht="14.2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  <c r="AF601" s="10"/>
      <c r="AG601" s="10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</row>
    <row r="602" ht="14.2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  <c r="AF602" s="10"/>
      <c r="AG602" s="10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</row>
    <row r="603" ht="14.2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  <c r="AF603" s="10"/>
      <c r="AG603" s="10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</row>
    <row r="604" ht="14.2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  <c r="AF604" s="10"/>
      <c r="AG604" s="10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</row>
    <row r="605" ht="14.2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  <c r="AF605" s="10"/>
      <c r="AG605" s="10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</row>
    <row r="606" ht="14.2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  <c r="AF606" s="10"/>
      <c r="AG606" s="10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</row>
    <row r="607" ht="14.2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  <c r="AE607" s="10"/>
      <c r="AF607" s="10"/>
      <c r="AG607" s="10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</row>
    <row r="608" ht="14.2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  <c r="AE608" s="10"/>
      <c r="AF608" s="10"/>
      <c r="AG608" s="10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</row>
    <row r="609" ht="14.2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  <c r="AF609" s="10"/>
      <c r="AG609" s="10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</row>
    <row r="610" ht="14.2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  <c r="AF610" s="10"/>
      <c r="AG610" s="10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</row>
    <row r="611" ht="14.2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  <c r="AF611" s="10"/>
      <c r="AG611" s="10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</row>
    <row r="612" ht="14.2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  <c r="AF612" s="10"/>
      <c r="AG612" s="10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</row>
    <row r="613" ht="14.2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  <c r="AF613" s="10"/>
      <c r="AG613" s="10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</row>
    <row r="614" ht="14.2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  <c r="AF614" s="10"/>
      <c r="AG614" s="10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</row>
    <row r="615" ht="14.2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  <c r="AE615" s="10"/>
      <c r="AF615" s="10"/>
      <c r="AG615" s="10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</row>
    <row r="616" ht="14.2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  <c r="AE616" s="10"/>
      <c r="AF616" s="10"/>
      <c r="AG616" s="10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</row>
    <row r="617" ht="14.2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  <c r="AE617" s="10"/>
      <c r="AF617" s="10"/>
      <c r="AG617" s="10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</row>
    <row r="618" ht="14.2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  <c r="AE618" s="10"/>
      <c r="AF618" s="10"/>
      <c r="AG618" s="10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</row>
    <row r="619" ht="14.2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  <c r="AE619" s="10"/>
      <c r="AF619" s="10"/>
      <c r="AG619" s="10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</row>
    <row r="620" ht="14.2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  <c r="AE620" s="10"/>
      <c r="AF620" s="10"/>
      <c r="AG620" s="10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</row>
    <row r="621" ht="14.2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  <c r="AE621" s="10"/>
      <c r="AF621" s="10"/>
      <c r="AG621" s="10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</row>
    <row r="622" ht="14.2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  <c r="AE622" s="10"/>
      <c r="AF622" s="10"/>
      <c r="AG622" s="10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</row>
    <row r="623" ht="14.2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  <c r="AE623" s="10"/>
      <c r="AF623" s="10"/>
      <c r="AG623" s="10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</row>
    <row r="624" ht="14.2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  <c r="AE624" s="10"/>
      <c r="AF624" s="10"/>
      <c r="AG624" s="10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</row>
    <row r="625" ht="14.2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  <c r="AE625" s="10"/>
      <c r="AF625" s="10"/>
      <c r="AG625" s="10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</row>
    <row r="626" ht="14.2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  <c r="AE626" s="10"/>
      <c r="AF626" s="10"/>
      <c r="AG626" s="10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</row>
    <row r="627" ht="14.2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  <c r="AE627" s="10"/>
      <c r="AF627" s="10"/>
      <c r="AG627" s="10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</row>
    <row r="628" ht="14.2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  <c r="AE628" s="10"/>
      <c r="AF628" s="10"/>
      <c r="AG628" s="10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</row>
    <row r="629" ht="14.2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  <c r="AE629" s="10"/>
      <c r="AF629" s="10"/>
      <c r="AG629" s="10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</row>
    <row r="630" ht="14.2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  <c r="AE630" s="10"/>
      <c r="AF630" s="10"/>
      <c r="AG630" s="10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</row>
    <row r="631" ht="14.2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  <c r="AE631" s="10"/>
      <c r="AF631" s="10"/>
      <c r="AG631" s="10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</row>
    <row r="632" ht="14.2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  <c r="AE632" s="10"/>
      <c r="AF632" s="10"/>
      <c r="AG632" s="10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</row>
    <row r="633" ht="14.2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  <c r="AE633" s="10"/>
      <c r="AF633" s="10"/>
      <c r="AG633" s="10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</row>
    <row r="634" ht="14.2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  <c r="AE634" s="10"/>
      <c r="AF634" s="10"/>
      <c r="AG634" s="10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</row>
    <row r="635" ht="14.2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  <c r="AE635" s="10"/>
      <c r="AF635" s="10"/>
      <c r="AG635" s="10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</row>
    <row r="636" ht="14.2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  <c r="AE636" s="10"/>
      <c r="AF636" s="10"/>
      <c r="AG636" s="10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</row>
    <row r="637" ht="14.2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  <c r="AE637" s="10"/>
      <c r="AF637" s="10"/>
      <c r="AG637" s="10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</row>
    <row r="638" ht="14.2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  <c r="AE638" s="10"/>
      <c r="AF638" s="10"/>
      <c r="AG638" s="10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</row>
    <row r="639" ht="14.2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  <c r="AE639" s="10"/>
      <c r="AF639" s="10"/>
      <c r="AG639" s="10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</row>
    <row r="640" ht="14.2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  <c r="AE640" s="10"/>
      <c r="AF640" s="10"/>
      <c r="AG640" s="10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</row>
    <row r="641" ht="14.2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  <c r="AE641" s="10"/>
      <c r="AF641" s="10"/>
      <c r="AG641" s="10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</row>
    <row r="642" ht="14.2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  <c r="AE642" s="10"/>
      <c r="AF642" s="10"/>
      <c r="AG642" s="10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</row>
    <row r="643" ht="14.2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  <c r="AE643" s="10"/>
      <c r="AF643" s="10"/>
      <c r="AG643" s="10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</row>
    <row r="644" ht="14.2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  <c r="AE644" s="10"/>
      <c r="AF644" s="10"/>
      <c r="AG644" s="10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</row>
    <row r="645" ht="14.2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  <c r="AE645" s="10"/>
      <c r="AF645" s="10"/>
      <c r="AG645" s="10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</row>
    <row r="646" ht="14.2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  <c r="AG646" s="10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</row>
    <row r="647" ht="14.2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  <c r="AE647" s="10"/>
      <c r="AF647" s="10"/>
      <c r="AG647" s="10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</row>
    <row r="648" ht="14.2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  <c r="AE648" s="10"/>
      <c r="AF648" s="10"/>
      <c r="AG648" s="10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</row>
    <row r="649" ht="14.2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  <c r="AE649" s="10"/>
      <c r="AF649" s="10"/>
      <c r="AG649" s="10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</row>
    <row r="650" ht="14.2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  <c r="AE650" s="10"/>
      <c r="AF650" s="10"/>
      <c r="AG650" s="10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</row>
    <row r="651" ht="14.2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  <c r="AE651" s="10"/>
      <c r="AF651" s="10"/>
      <c r="AG651" s="10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</row>
    <row r="652" ht="14.2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  <c r="AE652" s="10"/>
      <c r="AF652" s="10"/>
      <c r="AG652" s="10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</row>
    <row r="653" ht="14.2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  <c r="AE653" s="10"/>
      <c r="AF653" s="10"/>
      <c r="AG653" s="10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</row>
    <row r="654" ht="14.2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  <c r="AE654" s="10"/>
      <c r="AF654" s="10"/>
      <c r="AG654" s="10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</row>
    <row r="655" ht="14.2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  <c r="AE655" s="10"/>
      <c r="AF655" s="10"/>
      <c r="AG655" s="10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</row>
    <row r="656" ht="14.2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  <c r="AE656" s="10"/>
      <c r="AF656" s="10"/>
      <c r="AG656" s="10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</row>
    <row r="657" ht="14.2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  <c r="AE657" s="10"/>
      <c r="AF657" s="10"/>
      <c r="AG657" s="10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</row>
    <row r="658" ht="14.2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  <c r="AE658" s="10"/>
      <c r="AF658" s="10"/>
      <c r="AG658" s="10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</row>
    <row r="659" ht="14.2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  <c r="AE659" s="10"/>
      <c r="AF659" s="10"/>
      <c r="AG659" s="10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</row>
    <row r="660" ht="14.2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  <c r="AE660" s="10"/>
      <c r="AF660" s="10"/>
      <c r="AG660" s="10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</row>
    <row r="661" ht="14.2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  <c r="AE661" s="10"/>
      <c r="AF661" s="10"/>
      <c r="AG661" s="10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</row>
    <row r="662" ht="14.2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  <c r="AE662" s="10"/>
      <c r="AF662" s="10"/>
      <c r="AG662" s="10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</row>
    <row r="663" ht="14.2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  <c r="AE663" s="10"/>
      <c r="AF663" s="10"/>
      <c r="AG663" s="10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</row>
    <row r="664" ht="14.2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  <c r="AE664" s="10"/>
      <c r="AF664" s="10"/>
      <c r="AG664" s="10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</row>
    <row r="665" ht="14.2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  <c r="AE665" s="10"/>
      <c r="AF665" s="10"/>
      <c r="AG665" s="10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</row>
    <row r="666" ht="14.2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  <c r="AE666" s="10"/>
      <c r="AF666" s="10"/>
      <c r="AG666" s="10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</row>
    <row r="667" ht="14.2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  <c r="AE667" s="10"/>
      <c r="AF667" s="10"/>
      <c r="AG667" s="10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</row>
    <row r="668" ht="14.2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  <c r="AE668" s="10"/>
      <c r="AF668" s="10"/>
      <c r="AG668" s="10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</row>
    <row r="669" ht="14.2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  <c r="AE669" s="10"/>
      <c r="AF669" s="10"/>
      <c r="AG669" s="10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</row>
    <row r="670" ht="14.2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  <c r="AE670" s="10"/>
      <c r="AF670" s="10"/>
      <c r="AG670" s="10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</row>
    <row r="671" ht="14.2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  <c r="AE671" s="10"/>
      <c r="AF671" s="10"/>
      <c r="AG671" s="10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</row>
    <row r="672" ht="14.2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  <c r="AE672" s="10"/>
      <c r="AF672" s="10"/>
      <c r="AG672" s="10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</row>
    <row r="673" ht="14.2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  <c r="AG673" s="10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</row>
    <row r="674" ht="14.2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  <c r="AG674" s="10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</row>
    <row r="675" ht="14.2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  <c r="AE675" s="10"/>
      <c r="AF675" s="10"/>
      <c r="AG675" s="10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</row>
    <row r="676" ht="14.2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  <c r="AE676" s="10"/>
      <c r="AF676" s="10"/>
      <c r="AG676" s="10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</row>
    <row r="677" ht="14.2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  <c r="AE677" s="10"/>
      <c r="AF677" s="10"/>
      <c r="AG677" s="10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</row>
    <row r="678" ht="14.2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  <c r="AE678" s="10"/>
      <c r="AF678" s="10"/>
      <c r="AG678" s="10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</row>
    <row r="679" ht="14.2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  <c r="AE679" s="10"/>
      <c r="AF679" s="10"/>
      <c r="AG679" s="10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</row>
    <row r="680" ht="14.2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  <c r="AE680" s="10"/>
      <c r="AF680" s="10"/>
      <c r="AG680" s="10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</row>
    <row r="681" ht="14.2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  <c r="AE681" s="10"/>
      <c r="AF681" s="10"/>
      <c r="AG681" s="10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</row>
    <row r="682" ht="14.2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  <c r="AE682" s="10"/>
      <c r="AF682" s="10"/>
      <c r="AG682" s="10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</row>
    <row r="683" ht="14.2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  <c r="AE683" s="10"/>
      <c r="AF683" s="10"/>
      <c r="AG683" s="10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</row>
    <row r="684" ht="14.2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  <c r="AE684" s="10"/>
      <c r="AF684" s="10"/>
      <c r="AG684" s="10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</row>
    <row r="685" ht="14.2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  <c r="AE685" s="10"/>
      <c r="AF685" s="10"/>
      <c r="AG685" s="10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</row>
    <row r="686" ht="14.2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  <c r="AE686" s="10"/>
      <c r="AF686" s="10"/>
      <c r="AG686" s="10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</row>
    <row r="687" ht="14.2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  <c r="AE687" s="10"/>
      <c r="AF687" s="10"/>
      <c r="AG687" s="10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</row>
    <row r="688" ht="14.2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  <c r="AE688" s="10"/>
      <c r="AF688" s="10"/>
      <c r="AG688" s="10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</row>
    <row r="689" ht="14.2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  <c r="AE689" s="10"/>
      <c r="AF689" s="10"/>
      <c r="AG689" s="10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</row>
    <row r="690" ht="14.2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  <c r="AE690" s="10"/>
      <c r="AF690" s="10"/>
      <c r="AG690" s="10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</row>
    <row r="691" ht="14.2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  <c r="AE691" s="10"/>
      <c r="AF691" s="10"/>
      <c r="AG691" s="10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</row>
    <row r="692" ht="14.2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  <c r="AE692" s="10"/>
      <c r="AF692" s="10"/>
      <c r="AG692" s="10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</row>
    <row r="693" ht="14.2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  <c r="AE693" s="10"/>
      <c r="AF693" s="10"/>
      <c r="AG693" s="10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</row>
    <row r="694" ht="14.2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  <c r="AE694" s="10"/>
      <c r="AF694" s="10"/>
      <c r="AG694" s="10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</row>
    <row r="695" ht="14.2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  <c r="AE695" s="10"/>
      <c r="AF695" s="10"/>
      <c r="AG695" s="10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</row>
    <row r="696" ht="14.2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  <c r="AE696" s="10"/>
      <c r="AF696" s="10"/>
      <c r="AG696" s="10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</row>
    <row r="697" ht="14.2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  <c r="AE697" s="10"/>
      <c r="AF697" s="10"/>
      <c r="AG697" s="10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</row>
    <row r="698" ht="14.2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  <c r="AE698" s="10"/>
      <c r="AF698" s="10"/>
      <c r="AG698" s="10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</row>
    <row r="699" ht="14.2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  <c r="AE699" s="10"/>
      <c r="AF699" s="10"/>
      <c r="AG699" s="10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</row>
    <row r="700" ht="14.2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  <c r="AE700" s="10"/>
      <c r="AF700" s="10"/>
      <c r="AG700" s="10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</row>
    <row r="701" ht="14.2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  <c r="AE701" s="10"/>
      <c r="AF701" s="10"/>
      <c r="AG701" s="10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</row>
    <row r="702" ht="14.2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  <c r="AE702" s="10"/>
      <c r="AF702" s="10"/>
      <c r="AG702" s="10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</row>
    <row r="703" ht="14.2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  <c r="AE703" s="10"/>
      <c r="AF703" s="10"/>
      <c r="AG703" s="10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</row>
    <row r="704" ht="14.2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  <c r="AE704" s="10"/>
      <c r="AF704" s="10"/>
      <c r="AG704" s="10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</row>
    <row r="705" ht="14.2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  <c r="AE705" s="10"/>
      <c r="AF705" s="10"/>
      <c r="AG705" s="10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</row>
    <row r="706" ht="14.2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  <c r="AE706" s="10"/>
      <c r="AF706" s="10"/>
      <c r="AG706" s="10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</row>
    <row r="707" ht="14.2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  <c r="AE707" s="10"/>
      <c r="AF707" s="10"/>
      <c r="AG707" s="10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</row>
    <row r="708" ht="14.2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  <c r="AG708" s="10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</row>
    <row r="709" ht="14.2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  <c r="AE709" s="10"/>
      <c r="AF709" s="10"/>
      <c r="AG709" s="10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</row>
    <row r="710" ht="14.2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  <c r="AE710" s="10"/>
      <c r="AF710" s="10"/>
      <c r="AG710" s="10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</row>
    <row r="711" ht="14.2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  <c r="AE711" s="10"/>
      <c r="AF711" s="10"/>
      <c r="AG711" s="10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</row>
    <row r="712" ht="14.2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  <c r="AG712" s="10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</row>
    <row r="713" ht="14.2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  <c r="AG713" s="10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</row>
    <row r="714" ht="14.2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  <c r="AE714" s="10"/>
      <c r="AF714" s="10"/>
      <c r="AG714" s="10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</row>
    <row r="715" ht="14.2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  <c r="AE715" s="10"/>
      <c r="AF715" s="10"/>
      <c r="AG715" s="10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</row>
    <row r="716" ht="14.2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  <c r="AE716" s="10"/>
      <c r="AF716" s="10"/>
      <c r="AG716" s="10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</row>
    <row r="717" ht="14.2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  <c r="AE717" s="10"/>
      <c r="AF717" s="10"/>
      <c r="AG717" s="10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</row>
    <row r="718" ht="14.2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  <c r="AE718" s="10"/>
      <c r="AF718" s="10"/>
      <c r="AG718" s="10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</row>
    <row r="719" ht="14.2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  <c r="AE719" s="10"/>
      <c r="AF719" s="10"/>
      <c r="AG719" s="10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</row>
    <row r="720" ht="14.2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  <c r="AE720" s="10"/>
      <c r="AF720" s="10"/>
      <c r="AG720" s="10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</row>
    <row r="721" ht="14.2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  <c r="AE721" s="10"/>
      <c r="AF721" s="10"/>
      <c r="AG721" s="10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</row>
    <row r="722" ht="14.2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  <c r="AE722" s="10"/>
      <c r="AF722" s="10"/>
      <c r="AG722" s="10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</row>
    <row r="723" ht="14.2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  <c r="AG723" s="10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</row>
    <row r="724" ht="14.2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  <c r="AE724" s="10"/>
      <c r="AF724" s="10"/>
      <c r="AG724" s="10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</row>
    <row r="725" ht="14.2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  <c r="AE725" s="10"/>
      <c r="AF725" s="10"/>
      <c r="AG725" s="10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</row>
    <row r="726" ht="14.2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  <c r="AE726" s="10"/>
      <c r="AF726" s="10"/>
      <c r="AG726" s="10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</row>
    <row r="727" ht="14.2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  <c r="AE727" s="10"/>
      <c r="AF727" s="10"/>
      <c r="AG727" s="10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</row>
    <row r="728" ht="14.2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  <c r="AE728" s="10"/>
      <c r="AF728" s="10"/>
      <c r="AG728" s="10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</row>
    <row r="729" ht="14.2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  <c r="AE729" s="10"/>
      <c r="AF729" s="10"/>
      <c r="AG729" s="10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</row>
    <row r="730" ht="14.2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  <c r="AE730" s="10"/>
      <c r="AF730" s="10"/>
      <c r="AG730" s="10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</row>
    <row r="731" ht="14.2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  <c r="AE731" s="10"/>
      <c r="AF731" s="10"/>
      <c r="AG731" s="10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</row>
    <row r="732" ht="14.2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  <c r="AE732" s="10"/>
      <c r="AF732" s="10"/>
      <c r="AG732" s="10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</row>
    <row r="733" ht="14.2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  <c r="AE733" s="10"/>
      <c r="AF733" s="10"/>
      <c r="AG733" s="10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</row>
    <row r="734" ht="14.2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  <c r="AE734" s="10"/>
      <c r="AF734" s="10"/>
      <c r="AG734" s="10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</row>
    <row r="735" ht="14.2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  <c r="AE735" s="10"/>
      <c r="AF735" s="10"/>
      <c r="AG735" s="10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</row>
    <row r="736" ht="14.2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  <c r="AE736" s="10"/>
      <c r="AF736" s="10"/>
      <c r="AG736" s="10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</row>
    <row r="737" ht="14.2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  <c r="AE737" s="10"/>
      <c r="AF737" s="10"/>
      <c r="AG737" s="10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</row>
    <row r="738" ht="14.2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  <c r="AE738" s="10"/>
      <c r="AF738" s="10"/>
      <c r="AG738" s="10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</row>
    <row r="739" ht="14.2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  <c r="AE739" s="10"/>
      <c r="AF739" s="10"/>
      <c r="AG739" s="10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</row>
    <row r="740" ht="14.2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  <c r="AE740" s="10"/>
      <c r="AF740" s="10"/>
      <c r="AG740" s="10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</row>
    <row r="741" ht="14.2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  <c r="AE741" s="10"/>
      <c r="AF741" s="10"/>
      <c r="AG741" s="10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</row>
    <row r="742" ht="14.2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  <c r="AE742" s="10"/>
      <c r="AF742" s="10"/>
      <c r="AG742" s="10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</row>
    <row r="743" ht="14.2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  <c r="AE743" s="10"/>
      <c r="AF743" s="10"/>
      <c r="AG743" s="10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</row>
    <row r="744" ht="14.2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  <c r="AE744" s="10"/>
      <c r="AF744" s="10"/>
      <c r="AG744" s="10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</row>
    <row r="745" ht="14.2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  <c r="AE745" s="10"/>
      <c r="AF745" s="10"/>
      <c r="AG745" s="10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</row>
    <row r="746" ht="14.2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  <c r="AE746" s="10"/>
      <c r="AF746" s="10"/>
      <c r="AG746" s="10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</row>
    <row r="747" ht="14.2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  <c r="AE747" s="10"/>
      <c r="AF747" s="10"/>
      <c r="AG747" s="10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</row>
    <row r="748" ht="14.2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  <c r="AE748" s="10"/>
      <c r="AF748" s="10"/>
      <c r="AG748" s="10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</row>
    <row r="749" ht="14.2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  <c r="AE749" s="10"/>
      <c r="AF749" s="10"/>
      <c r="AG749" s="10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</row>
    <row r="750" ht="14.2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  <c r="AE750" s="10"/>
      <c r="AF750" s="10"/>
      <c r="AG750" s="10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</row>
    <row r="751" ht="14.2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  <c r="AE751" s="10"/>
      <c r="AF751" s="10"/>
      <c r="AG751" s="10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</row>
    <row r="752" ht="14.2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  <c r="AE752" s="10"/>
      <c r="AF752" s="10"/>
      <c r="AG752" s="10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</row>
    <row r="753" ht="14.2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  <c r="AE753" s="10"/>
      <c r="AF753" s="10"/>
      <c r="AG753" s="10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</row>
    <row r="754" ht="14.2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  <c r="AE754" s="10"/>
      <c r="AF754" s="10"/>
      <c r="AG754" s="10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</row>
    <row r="755" ht="14.2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  <c r="AE755" s="10"/>
      <c r="AF755" s="10"/>
      <c r="AG755" s="10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</row>
    <row r="756" ht="14.2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  <c r="AE756" s="10"/>
      <c r="AF756" s="10"/>
      <c r="AG756" s="10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</row>
    <row r="757" ht="14.2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  <c r="AE757" s="10"/>
      <c r="AF757" s="10"/>
      <c r="AG757" s="10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</row>
    <row r="758" ht="14.2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  <c r="AE758" s="10"/>
      <c r="AF758" s="10"/>
      <c r="AG758" s="10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</row>
    <row r="759" ht="14.2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  <c r="AE759" s="10"/>
      <c r="AF759" s="10"/>
      <c r="AG759" s="10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</row>
    <row r="760" ht="14.2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  <c r="AE760" s="10"/>
      <c r="AF760" s="10"/>
      <c r="AG760" s="10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</row>
    <row r="761" ht="14.2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  <c r="AE761" s="10"/>
      <c r="AF761" s="10"/>
      <c r="AG761" s="10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</row>
    <row r="762" ht="14.2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  <c r="AE762" s="10"/>
      <c r="AF762" s="10"/>
      <c r="AG762" s="10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</row>
    <row r="763" ht="14.2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  <c r="AE763" s="10"/>
      <c r="AF763" s="10"/>
      <c r="AG763" s="10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</row>
    <row r="764" ht="14.2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  <c r="AE764" s="10"/>
      <c r="AF764" s="10"/>
      <c r="AG764" s="10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</row>
    <row r="765" ht="14.2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  <c r="AE765" s="10"/>
      <c r="AF765" s="10"/>
      <c r="AG765" s="10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</row>
    <row r="766" ht="14.2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  <c r="AE766" s="10"/>
      <c r="AF766" s="10"/>
      <c r="AG766" s="10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</row>
    <row r="767" ht="14.2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  <c r="AE767" s="10"/>
      <c r="AF767" s="10"/>
      <c r="AG767" s="10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</row>
    <row r="768" ht="14.2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  <c r="AE768" s="10"/>
      <c r="AF768" s="10"/>
      <c r="AG768" s="10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</row>
    <row r="769" ht="14.2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  <c r="AE769" s="10"/>
      <c r="AF769" s="10"/>
      <c r="AG769" s="10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</row>
    <row r="770" ht="14.2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  <c r="AE770" s="10"/>
      <c r="AF770" s="10"/>
      <c r="AG770" s="10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</row>
    <row r="771" ht="14.2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  <c r="AE771" s="10"/>
      <c r="AF771" s="10"/>
      <c r="AG771" s="10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</row>
    <row r="772" ht="14.2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  <c r="AE772" s="10"/>
      <c r="AF772" s="10"/>
      <c r="AG772" s="10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</row>
    <row r="773" ht="14.2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  <c r="AE773" s="10"/>
      <c r="AF773" s="10"/>
      <c r="AG773" s="10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</row>
    <row r="774" ht="14.2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  <c r="AE774" s="10"/>
      <c r="AF774" s="10"/>
      <c r="AG774" s="10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</row>
    <row r="775" ht="14.2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  <c r="AE775" s="10"/>
      <c r="AF775" s="10"/>
      <c r="AG775" s="10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</row>
    <row r="776" ht="14.2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  <c r="AE776" s="10"/>
      <c r="AF776" s="10"/>
      <c r="AG776" s="10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</row>
    <row r="777" ht="14.2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  <c r="AE777" s="10"/>
      <c r="AF777" s="10"/>
      <c r="AG777" s="10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</row>
    <row r="778" ht="14.2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  <c r="AE778" s="10"/>
      <c r="AF778" s="10"/>
      <c r="AG778" s="10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</row>
    <row r="779" ht="14.2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  <c r="AE779" s="10"/>
      <c r="AF779" s="10"/>
      <c r="AG779" s="10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</row>
    <row r="780" ht="14.2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  <c r="AE780" s="10"/>
      <c r="AF780" s="10"/>
      <c r="AG780" s="10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</row>
    <row r="781" ht="14.2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  <c r="AE781" s="10"/>
      <c r="AF781" s="10"/>
      <c r="AG781" s="10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</row>
    <row r="782" ht="14.2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  <c r="AE782" s="10"/>
      <c r="AF782" s="10"/>
      <c r="AG782" s="10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</row>
    <row r="783" ht="14.2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  <c r="AE783" s="10"/>
      <c r="AF783" s="10"/>
      <c r="AG783" s="10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</row>
    <row r="784" ht="14.2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  <c r="AG784" s="10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</row>
    <row r="785" ht="14.2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  <c r="AG785" s="10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</row>
    <row r="786" ht="14.2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  <c r="AG786" s="10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</row>
    <row r="787" ht="14.2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  <c r="AE787" s="10"/>
      <c r="AF787" s="10"/>
      <c r="AG787" s="10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</row>
    <row r="788" ht="14.2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  <c r="AE788" s="10"/>
      <c r="AF788" s="10"/>
      <c r="AG788" s="10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</row>
    <row r="789" ht="14.2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  <c r="AG789" s="10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</row>
    <row r="790" ht="14.2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  <c r="AG790" s="10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</row>
    <row r="791" ht="14.2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  <c r="AE791" s="10"/>
      <c r="AF791" s="10"/>
      <c r="AG791" s="10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</row>
    <row r="792" ht="14.2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  <c r="AE792" s="10"/>
      <c r="AF792" s="10"/>
      <c r="AG792" s="10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</row>
    <row r="793" ht="14.2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  <c r="AE793" s="10"/>
      <c r="AF793" s="10"/>
      <c r="AG793" s="10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</row>
    <row r="794" ht="14.2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  <c r="AE794" s="10"/>
      <c r="AF794" s="10"/>
      <c r="AG794" s="10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</row>
    <row r="795" ht="14.2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  <c r="AE795" s="10"/>
      <c r="AF795" s="10"/>
      <c r="AG795" s="10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</row>
    <row r="796" ht="14.2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  <c r="AE796" s="10"/>
      <c r="AF796" s="10"/>
      <c r="AG796" s="10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</row>
    <row r="797" ht="14.2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  <c r="AE797" s="10"/>
      <c r="AF797" s="10"/>
      <c r="AG797" s="10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</row>
    <row r="798" ht="14.2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  <c r="AE798" s="10"/>
      <c r="AF798" s="10"/>
      <c r="AG798" s="10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</row>
    <row r="799" ht="14.2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  <c r="AE799" s="10"/>
      <c r="AF799" s="10"/>
      <c r="AG799" s="10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</row>
    <row r="800" ht="14.2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  <c r="AE800" s="10"/>
      <c r="AF800" s="10"/>
      <c r="AG800" s="10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</row>
    <row r="801" ht="14.2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  <c r="AE801" s="10"/>
      <c r="AF801" s="10"/>
      <c r="AG801" s="10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</row>
    <row r="802" ht="14.2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  <c r="AE802" s="10"/>
      <c r="AF802" s="10"/>
      <c r="AG802" s="10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</row>
    <row r="803" ht="14.2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  <c r="AE803" s="10"/>
      <c r="AF803" s="10"/>
      <c r="AG803" s="10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</row>
    <row r="804" ht="14.2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  <c r="AE804" s="10"/>
      <c r="AF804" s="10"/>
      <c r="AG804" s="10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</row>
    <row r="805" ht="14.2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  <c r="AE805" s="10"/>
      <c r="AF805" s="10"/>
      <c r="AG805" s="10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</row>
    <row r="806" ht="14.2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  <c r="AE806" s="10"/>
      <c r="AF806" s="10"/>
      <c r="AG806" s="10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</row>
    <row r="807" ht="14.2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  <c r="AE807" s="10"/>
      <c r="AF807" s="10"/>
      <c r="AG807" s="10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</row>
    <row r="808" ht="14.2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  <c r="AE808" s="10"/>
      <c r="AF808" s="10"/>
      <c r="AG808" s="10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</row>
    <row r="809" ht="14.2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  <c r="AE809" s="10"/>
      <c r="AF809" s="10"/>
      <c r="AG809" s="10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</row>
    <row r="810" ht="14.2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  <c r="AE810" s="10"/>
      <c r="AF810" s="10"/>
      <c r="AG810" s="10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</row>
    <row r="811" ht="14.2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  <c r="AE811" s="10"/>
      <c r="AF811" s="10"/>
      <c r="AG811" s="10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</row>
    <row r="812" ht="14.2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  <c r="AE812" s="10"/>
      <c r="AF812" s="10"/>
      <c r="AG812" s="10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</row>
    <row r="813" ht="14.2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  <c r="AE813" s="10"/>
      <c r="AF813" s="10"/>
      <c r="AG813" s="10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</row>
    <row r="814" ht="14.2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  <c r="AE814" s="10"/>
      <c r="AF814" s="10"/>
      <c r="AG814" s="10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</row>
    <row r="815" ht="14.2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  <c r="AE815" s="10"/>
      <c r="AF815" s="10"/>
      <c r="AG815" s="10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</row>
    <row r="816" ht="14.2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  <c r="AE816" s="10"/>
      <c r="AF816" s="10"/>
      <c r="AG816" s="10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</row>
    <row r="817" ht="14.2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  <c r="AE817" s="10"/>
      <c r="AF817" s="10"/>
      <c r="AG817" s="10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</row>
    <row r="818" ht="14.2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  <c r="AG818" s="10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</row>
    <row r="819" ht="14.2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  <c r="AE819" s="10"/>
      <c r="AF819" s="10"/>
      <c r="AG819" s="10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</row>
    <row r="820" ht="14.2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  <c r="AE820" s="10"/>
      <c r="AF820" s="10"/>
      <c r="AG820" s="10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</row>
    <row r="821" ht="14.2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  <c r="AE821" s="10"/>
      <c r="AF821" s="10"/>
      <c r="AG821" s="10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</row>
    <row r="822" ht="14.2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  <c r="AE822" s="10"/>
      <c r="AF822" s="10"/>
      <c r="AG822" s="10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</row>
    <row r="823" ht="14.2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  <c r="AE823" s="10"/>
      <c r="AF823" s="10"/>
      <c r="AG823" s="10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</row>
    <row r="824" ht="14.2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  <c r="AE824" s="10"/>
      <c r="AF824" s="10"/>
      <c r="AG824" s="10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</row>
    <row r="825" ht="14.2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  <c r="AE825" s="10"/>
      <c r="AF825" s="10"/>
      <c r="AG825" s="10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</row>
    <row r="826" ht="14.2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  <c r="AE826" s="10"/>
      <c r="AF826" s="10"/>
      <c r="AG826" s="10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</row>
    <row r="827" ht="14.2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  <c r="AE827" s="10"/>
      <c r="AF827" s="10"/>
      <c r="AG827" s="10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</row>
    <row r="828" ht="14.2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  <c r="AE828" s="10"/>
      <c r="AF828" s="10"/>
      <c r="AG828" s="10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</row>
    <row r="829" ht="14.2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  <c r="AE829" s="10"/>
      <c r="AF829" s="10"/>
      <c r="AG829" s="10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</row>
    <row r="830" ht="14.2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</row>
    <row r="831" ht="14.2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  <c r="AE831" s="10"/>
      <c r="AF831" s="10"/>
      <c r="AG831" s="10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</row>
    <row r="832" ht="14.2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  <c r="AE832" s="10"/>
      <c r="AF832" s="10"/>
      <c r="AG832" s="10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</row>
    <row r="833" ht="14.2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  <c r="AE833" s="10"/>
      <c r="AF833" s="10"/>
      <c r="AG833" s="10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</row>
    <row r="834" ht="14.2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  <c r="AE834" s="10"/>
      <c r="AF834" s="10"/>
      <c r="AG834" s="10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</row>
    <row r="835" ht="14.2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  <c r="AE835" s="10"/>
      <c r="AF835" s="10"/>
      <c r="AG835" s="10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</row>
    <row r="836" ht="14.2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  <c r="AE836" s="10"/>
      <c r="AF836" s="10"/>
      <c r="AG836" s="10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</row>
    <row r="837" ht="14.2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  <c r="AE837" s="10"/>
      <c r="AF837" s="10"/>
      <c r="AG837" s="10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</row>
    <row r="838" ht="14.2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  <c r="AE838" s="10"/>
      <c r="AF838" s="10"/>
      <c r="AG838" s="10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</row>
    <row r="839" ht="14.2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  <c r="AE839" s="10"/>
      <c r="AF839" s="10"/>
      <c r="AG839" s="10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</row>
    <row r="840" ht="14.2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  <c r="AE840" s="10"/>
      <c r="AF840" s="10"/>
      <c r="AG840" s="10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</row>
    <row r="841" ht="14.2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  <c r="AE841" s="10"/>
      <c r="AF841" s="10"/>
      <c r="AG841" s="10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</row>
    <row r="842" ht="14.2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  <c r="AE842" s="10"/>
      <c r="AF842" s="10"/>
      <c r="AG842" s="10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</row>
    <row r="843" ht="14.2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  <c r="AE843" s="10"/>
      <c r="AF843" s="10"/>
      <c r="AG843" s="10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</row>
    <row r="844" ht="14.2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  <c r="AE844" s="10"/>
      <c r="AF844" s="10"/>
      <c r="AG844" s="10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</row>
    <row r="845" ht="14.2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  <c r="AE845" s="10"/>
      <c r="AF845" s="10"/>
      <c r="AG845" s="10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</row>
    <row r="846" ht="14.2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  <c r="AE846" s="10"/>
      <c r="AF846" s="10"/>
      <c r="AG846" s="10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</row>
    <row r="847" ht="14.2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  <c r="AE847" s="10"/>
      <c r="AF847" s="10"/>
      <c r="AG847" s="10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</row>
    <row r="848" ht="14.2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  <c r="AE848" s="10"/>
      <c r="AF848" s="10"/>
      <c r="AG848" s="10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</row>
    <row r="849" ht="14.2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  <c r="AE849" s="10"/>
      <c r="AF849" s="10"/>
      <c r="AG849" s="10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</row>
    <row r="850" ht="14.2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  <c r="AE850" s="10"/>
      <c r="AF850" s="10"/>
      <c r="AG850" s="10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</row>
    <row r="851" ht="14.2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  <c r="AE851" s="10"/>
      <c r="AF851" s="10"/>
      <c r="AG851" s="10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</row>
    <row r="852" ht="14.2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  <c r="AE852" s="10"/>
      <c r="AF852" s="10"/>
      <c r="AG852" s="10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</row>
    <row r="853" ht="14.2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  <c r="AE853" s="10"/>
      <c r="AF853" s="10"/>
      <c r="AG853" s="10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</row>
    <row r="854" ht="14.2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  <c r="AE854" s="10"/>
      <c r="AF854" s="10"/>
      <c r="AG854" s="10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</row>
    <row r="855" ht="14.2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  <c r="AE855" s="10"/>
      <c r="AF855" s="10"/>
      <c r="AG855" s="10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</row>
    <row r="856" ht="14.2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  <c r="AE856" s="10"/>
      <c r="AF856" s="10"/>
      <c r="AG856" s="10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</row>
    <row r="857" ht="14.2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  <c r="AE857" s="10"/>
      <c r="AF857" s="10"/>
      <c r="AG857" s="10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</row>
    <row r="858" ht="14.2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  <c r="AE858" s="10"/>
      <c r="AF858" s="10"/>
      <c r="AG858" s="10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</row>
    <row r="859" ht="14.2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  <c r="AE859" s="10"/>
      <c r="AF859" s="10"/>
      <c r="AG859" s="10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</row>
    <row r="860" ht="14.2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  <c r="AE860" s="10"/>
      <c r="AF860" s="10"/>
      <c r="AG860" s="10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</row>
    <row r="861" ht="14.2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  <c r="AE861" s="10"/>
      <c r="AF861" s="10"/>
      <c r="AG861" s="10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</row>
    <row r="862" ht="14.2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  <c r="AE862" s="10"/>
      <c r="AF862" s="10"/>
      <c r="AG862" s="10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</row>
    <row r="863" ht="14.2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</row>
    <row r="864" ht="14.2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</row>
    <row r="865" ht="14.2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  <c r="AE865" s="10"/>
      <c r="AF865" s="10"/>
      <c r="AG865" s="10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</row>
    <row r="866" ht="14.2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  <c r="AE866" s="10"/>
      <c r="AF866" s="10"/>
      <c r="AG866" s="10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</row>
    <row r="867" ht="14.2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  <c r="AE867" s="10"/>
      <c r="AF867" s="10"/>
      <c r="AG867" s="10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</row>
    <row r="868" ht="14.2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  <c r="AE868" s="10"/>
      <c r="AF868" s="10"/>
      <c r="AG868" s="10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</row>
    <row r="869" ht="14.2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  <c r="AE869" s="10"/>
      <c r="AF869" s="10"/>
      <c r="AG869" s="10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</row>
    <row r="870" ht="14.2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  <c r="AE870" s="10"/>
      <c r="AF870" s="10"/>
      <c r="AG870" s="10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</row>
    <row r="871" ht="14.2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  <c r="AE871" s="10"/>
      <c r="AF871" s="10"/>
      <c r="AG871" s="10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</row>
    <row r="872" ht="14.2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  <c r="AE872" s="10"/>
      <c r="AF872" s="10"/>
      <c r="AG872" s="10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</row>
    <row r="873" ht="14.2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  <c r="AE873" s="10"/>
      <c r="AF873" s="10"/>
      <c r="AG873" s="10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</row>
    <row r="874" ht="14.2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  <c r="AE874" s="10"/>
      <c r="AF874" s="10"/>
      <c r="AG874" s="10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</row>
    <row r="875" ht="14.2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  <c r="AE875" s="10"/>
      <c r="AF875" s="10"/>
      <c r="AG875" s="10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</row>
    <row r="876" ht="14.2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  <c r="AE876" s="10"/>
      <c r="AF876" s="10"/>
      <c r="AG876" s="10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</row>
    <row r="877" ht="14.2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  <c r="AE877" s="10"/>
      <c r="AF877" s="10"/>
      <c r="AG877" s="10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</row>
    <row r="878" ht="14.2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  <c r="AE878" s="10"/>
      <c r="AF878" s="10"/>
      <c r="AG878" s="10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</row>
    <row r="879" ht="14.2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  <c r="AE879" s="10"/>
      <c r="AF879" s="10"/>
      <c r="AG879" s="10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</row>
    <row r="880" ht="14.2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  <c r="AE880" s="10"/>
      <c r="AF880" s="10"/>
      <c r="AG880" s="10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</row>
    <row r="881" ht="14.2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  <c r="AE881" s="10"/>
      <c r="AF881" s="10"/>
      <c r="AG881" s="10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</row>
    <row r="882" ht="14.2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  <c r="AE882" s="10"/>
      <c r="AF882" s="10"/>
      <c r="AG882" s="10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</row>
    <row r="883" ht="14.2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  <c r="AE883" s="10"/>
      <c r="AF883" s="10"/>
      <c r="AG883" s="10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</row>
    <row r="884" ht="14.2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  <c r="AE884" s="10"/>
      <c r="AF884" s="10"/>
      <c r="AG884" s="10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</row>
    <row r="885" ht="14.2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  <c r="AE885" s="10"/>
      <c r="AF885" s="10"/>
      <c r="AG885" s="10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</row>
    <row r="886" ht="14.2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  <c r="AE886" s="10"/>
      <c r="AF886" s="10"/>
      <c r="AG886" s="10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</row>
    <row r="887" ht="14.2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  <c r="AE887" s="10"/>
      <c r="AF887" s="10"/>
      <c r="AG887" s="10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</row>
    <row r="888" ht="14.2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  <c r="AG888" s="10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</row>
    <row r="889" ht="14.2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  <c r="AE889" s="10"/>
      <c r="AF889" s="10"/>
      <c r="AG889" s="10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</row>
    <row r="890" ht="14.2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  <c r="AE890" s="10"/>
      <c r="AF890" s="10"/>
      <c r="AG890" s="10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</row>
    <row r="891" ht="14.2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  <c r="AE891" s="10"/>
      <c r="AF891" s="10"/>
      <c r="AG891" s="10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</row>
    <row r="892" ht="14.2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  <c r="AE892" s="10"/>
      <c r="AF892" s="10"/>
      <c r="AG892" s="10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</row>
    <row r="893" ht="14.2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  <c r="AE893" s="10"/>
      <c r="AF893" s="10"/>
      <c r="AG893" s="10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</row>
    <row r="894" ht="14.2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  <c r="AE894" s="10"/>
      <c r="AF894" s="10"/>
      <c r="AG894" s="10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</row>
    <row r="895" ht="14.2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  <c r="AE895" s="10"/>
      <c r="AF895" s="10"/>
      <c r="AG895" s="10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</row>
    <row r="896" ht="14.2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  <c r="AE896" s="10"/>
      <c r="AF896" s="10"/>
      <c r="AG896" s="10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</row>
    <row r="897" ht="14.2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  <c r="AE897" s="10"/>
      <c r="AF897" s="10"/>
      <c r="AG897" s="10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</row>
    <row r="898" ht="14.2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  <c r="AE898" s="10"/>
      <c r="AF898" s="10"/>
      <c r="AG898" s="10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</row>
    <row r="899" ht="14.2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  <c r="AE899" s="10"/>
      <c r="AF899" s="10"/>
      <c r="AG899" s="10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</row>
    <row r="900" ht="14.2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  <c r="AE900" s="10"/>
      <c r="AF900" s="10"/>
      <c r="AG900" s="10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</row>
    <row r="901" ht="14.2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  <c r="AE901" s="10"/>
      <c r="AF901" s="10"/>
      <c r="AG901" s="10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</row>
    <row r="902" ht="14.2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  <c r="AE902" s="10"/>
      <c r="AF902" s="10"/>
      <c r="AG902" s="10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</row>
    <row r="903" ht="14.2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  <c r="AE903" s="10"/>
      <c r="AF903" s="10"/>
      <c r="AG903" s="10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</row>
    <row r="904" ht="14.2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  <c r="AE904" s="10"/>
      <c r="AF904" s="10"/>
      <c r="AG904" s="10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</row>
    <row r="905" ht="14.2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  <c r="AE905" s="10"/>
      <c r="AF905" s="10"/>
      <c r="AG905" s="10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</row>
    <row r="906" ht="14.2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  <c r="AE906" s="10"/>
      <c r="AF906" s="10"/>
      <c r="AG906" s="10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</row>
    <row r="907" ht="14.2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  <c r="AE907" s="10"/>
      <c r="AF907" s="10"/>
      <c r="AG907" s="10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</row>
    <row r="908" ht="14.2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  <c r="AE908" s="10"/>
      <c r="AF908" s="10"/>
      <c r="AG908" s="10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</row>
    <row r="909" ht="14.2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  <c r="AE909" s="10"/>
      <c r="AF909" s="10"/>
      <c r="AG909" s="10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</row>
    <row r="910" ht="14.2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  <c r="AE910" s="10"/>
      <c r="AF910" s="10"/>
      <c r="AG910" s="10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</row>
    <row r="911" ht="14.2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  <c r="AE911" s="10"/>
      <c r="AF911" s="10"/>
      <c r="AG911" s="10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</row>
    <row r="912" ht="14.2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  <c r="AE912" s="10"/>
      <c r="AF912" s="10"/>
      <c r="AG912" s="10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</row>
    <row r="913" ht="14.2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  <c r="AE913" s="10"/>
      <c r="AF913" s="10"/>
      <c r="AG913" s="10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</row>
    <row r="914" ht="14.2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  <c r="AE914" s="10"/>
      <c r="AF914" s="10"/>
      <c r="AG914" s="10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</row>
    <row r="915" ht="14.2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  <c r="AE915" s="10"/>
      <c r="AF915" s="10"/>
      <c r="AG915" s="10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</row>
    <row r="916" ht="14.2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  <c r="AE916" s="10"/>
      <c r="AF916" s="10"/>
      <c r="AG916" s="10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</row>
    <row r="917" ht="14.2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  <c r="AE917" s="10"/>
      <c r="AF917" s="10"/>
      <c r="AG917" s="10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</row>
    <row r="918" ht="14.2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  <c r="AE918" s="10"/>
      <c r="AF918" s="10"/>
      <c r="AG918" s="10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</row>
    <row r="919" ht="14.2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  <c r="AE919" s="10"/>
      <c r="AF919" s="10"/>
      <c r="AG919" s="10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</row>
    <row r="920" ht="14.2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  <c r="AE920" s="10"/>
      <c r="AF920" s="10"/>
      <c r="AG920" s="10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</row>
    <row r="921" ht="14.2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  <c r="AE921" s="10"/>
      <c r="AF921" s="10"/>
      <c r="AG921" s="10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</row>
    <row r="922" ht="14.2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  <c r="AE922" s="10"/>
      <c r="AF922" s="10"/>
      <c r="AG922" s="10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</row>
    <row r="923" ht="14.2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  <c r="AE923" s="10"/>
      <c r="AF923" s="10"/>
      <c r="AG923" s="10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</row>
    <row r="924" ht="14.2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  <c r="AE924" s="10"/>
      <c r="AF924" s="10"/>
      <c r="AG924" s="10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</row>
    <row r="925" ht="14.2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  <c r="AE925" s="10"/>
      <c r="AF925" s="10"/>
      <c r="AG925" s="10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</row>
    <row r="926" ht="14.2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  <c r="AE926" s="10"/>
      <c r="AF926" s="10"/>
      <c r="AG926" s="10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</row>
    <row r="927" ht="14.2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  <c r="AE927" s="10"/>
      <c r="AF927" s="10"/>
      <c r="AG927" s="10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</row>
    <row r="928" ht="14.2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  <c r="AE928" s="10"/>
      <c r="AF928" s="10"/>
      <c r="AG928" s="10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</row>
    <row r="929" ht="14.2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  <c r="AE929" s="10"/>
      <c r="AF929" s="10"/>
      <c r="AG929" s="10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</row>
    <row r="930" ht="14.2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  <c r="AE930" s="10"/>
      <c r="AF930" s="10"/>
      <c r="AG930" s="10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</row>
    <row r="931" ht="14.2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  <c r="AE931" s="10"/>
      <c r="AF931" s="10"/>
      <c r="AG931" s="10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</row>
    <row r="932" ht="14.2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  <c r="AE932" s="10"/>
      <c r="AF932" s="10"/>
      <c r="AG932" s="10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</row>
    <row r="933" ht="14.2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  <c r="AE933" s="10"/>
      <c r="AF933" s="10"/>
      <c r="AG933" s="10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</row>
    <row r="934" ht="14.2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  <c r="AE934" s="10"/>
      <c r="AF934" s="10"/>
      <c r="AG934" s="10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</row>
    <row r="935" ht="14.2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  <c r="AE935" s="10"/>
      <c r="AF935" s="10"/>
      <c r="AG935" s="10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</row>
    <row r="936" ht="14.2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  <c r="AE936" s="10"/>
      <c r="AF936" s="10"/>
      <c r="AG936" s="10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</row>
    <row r="937" ht="14.2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  <c r="AE937" s="10"/>
      <c r="AF937" s="10"/>
      <c r="AG937" s="10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</row>
    <row r="938" ht="14.2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  <c r="AE938" s="10"/>
      <c r="AF938" s="10"/>
      <c r="AG938" s="10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</row>
    <row r="939" ht="14.2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  <c r="AE939" s="10"/>
      <c r="AF939" s="10"/>
      <c r="AG939" s="10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</row>
    <row r="940" ht="14.2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  <c r="AE940" s="10"/>
      <c r="AF940" s="10"/>
      <c r="AG940" s="10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</row>
    <row r="941" ht="14.2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  <c r="AE941" s="10"/>
      <c r="AF941" s="10"/>
      <c r="AG941" s="10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</row>
    <row r="942" ht="14.2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  <c r="AE942" s="10"/>
      <c r="AF942" s="10"/>
      <c r="AG942" s="10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</row>
    <row r="943" ht="14.2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  <c r="AE943" s="10"/>
      <c r="AF943" s="10"/>
      <c r="AG943" s="10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</row>
    <row r="944" ht="14.2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  <c r="AE944" s="10"/>
      <c r="AF944" s="10"/>
      <c r="AG944" s="10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</row>
    <row r="945" ht="14.2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  <c r="AE945" s="10"/>
      <c r="AF945" s="10"/>
      <c r="AG945" s="10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</row>
    <row r="946" ht="14.2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  <c r="AE946" s="10"/>
      <c r="AF946" s="10"/>
      <c r="AG946" s="10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</row>
    <row r="947" ht="14.2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  <c r="AE947" s="10"/>
      <c r="AF947" s="10"/>
      <c r="AG947" s="10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</row>
    <row r="948" ht="14.2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  <c r="AE948" s="10"/>
      <c r="AF948" s="10"/>
      <c r="AG948" s="10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</row>
    <row r="949" ht="14.2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  <c r="AE949" s="10"/>
      <c r="AF949" s="10"/>
      <c r="AG949" s="10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</row>
    <row r="950" ht="14.2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  <c r="AE950" s="10"/>
      <c r="AF950" s="10"/>
      <c r="AG950" s="10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</row>
    <row r="951" ht="14.2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  <c r="AE951" s="10"/>
      <c r="AF951" s="10"/>
      <c r="AG951" s="10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</row>
    <row r="952" ht="14.2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  <c r="AE952" s="10"/>
      <c r="AF952" s="10"/>
      <c r="AG952" s="10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</row>
    <row r="953" ht="14.2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  <c r="AE953" s="10"/>
      <c r="AF953" s="10"/>
      <c r="AG953" s="10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</row>
    <row r="954" ht="14.2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  <c r="AE954" s="10"/>
      <c r="AF954" s="10"/>
      <c r="AG954" s="10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</row>
    <row r="955" ht="14.2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  <c r="AE955" s="10"/>
      <c r="AF955" s="10"/>
      <c r="AG955" s="10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</row>
    <row r="956" ht="14.2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  <c r="AE956" s="10"/>
      <c r="AF956" s="10"/>
      <c r="AG956" s="10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</row>
    <row r="957" ht="14.2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</row>
    <row r="958" ht="14.2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  <c r="AE958" s="10"/>
      <c r="AF958" s="10"/>
      <c r="AG958" s="10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</row>
    <row r="959" ht="14.2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  <c r="AE959" s="10"/>
      <c r="AF959" s="10"/>
      <c r="AG959" s="10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</row>
    <row r="960" ht="14.2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  <c r="AE960" s="10"/>
      <c r="AF960" s="10"/>
      <c r="AG960" s="10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</row>
    <row r="961" ht="14.2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  <c r="AE961" s="10"/>
      <c r="AF961" s="10"/>
      <c r="AG961" s="10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</row>
    <row r="962" ht="14.2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  <c r="AE962" s="10"/>
      <c r="AF962" s="10"/>
      <c r="AG962" s="10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</row>
    <row r="963" ht="14.2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  <c r="AE963" s="10"/>
      <c r="AF963" s="10"/>
      <c r="AG963" s="10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</row>
    <row r="964" ht="14.2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  <c r="AE964" s="10"/>
      <c r="AF964" s="10"/>
      <c r="AG964" s="10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</row>
    <row r="965" ht="14.2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  <c r="AE965" s="10"/>
      <c r="AF965" s="10"/>
      <c r="AG965" s="10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</row>
    <row r="966" ht="14.2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  <c r="AE966" s="10"/>
      <c r="AF966" s="10"/>
      <c r="AG966" s="10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</row>
    <row r="967" ht="14.2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  <c r="AE967" s="10"/>
      <c r="AF967" s="10"/>
      <c r="AG967" s="10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</row>
    <row r="968" ht="14.2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  <c r="AE968" s="10"/>
      <c r="AF968" s="10"/>
      <c r="AG968" s="10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</row>
    <row r="969" ht="14.2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  <c r="AE969" s="10"/>
      <c r="AF969" s="10"/>
      <c r="AG969" s="10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</row>
    <row r="970" ht="14.2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  <c r="AE970" s="10"/>
      <c r="AF970" s="10"/>
      <c r="AG970" s="10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</row>
    <row r="971" ht="14.2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  <c r="AE971" s="10"/>
      <c r="AF971" s="10"/>
      <c r="AG971" s="10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</row>
    <row r="972" ht="14.2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  <c r="AE972" s="10"/>
      <c r="AF972" s="10"/>
      <c r="AG972" s="10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</row>
    <row r="973" ht="14.2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  <c r="AE973" s="10"/>
      <c r="AF973" s="10"/>
      <c r="AG973" s="10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</row>
    <row r="974" ht="14.2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  <c r="AE974" s="10"/>
      <c r="AF974" s="10"/>
      <c r="AG974" s="10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</row>
    <row r="975" ht="14.2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  <c r="AE975" s="10"/>
      <c r="AF975" s="10"/>
      <c r="AG975" s="10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</row>
    <row r="976" ht="14.2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  <c r="AE976" s="10"/>
      <c r="AF976" s="10"/>
      <c r="AG976" s="10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</row>
    <row r="977" ht="14.2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  <c r="AE977" s="10"/>
      <c r="AF977" s="10"/>
      <c r="AG977" s="10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</row>
    <row r="978" ht="14.2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  <c r="AE978" s="10"/>
      <c r="AF978" s="10"/>
      <c r="AG978" s="10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</row>
    <row r="979" ht="14.2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  <c r="AE979" s="10"/>
      <c r="AF979" s="10"/>
      <c r="AG979" s="10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</row>
    <row r="980" ht="14.2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  <c r="AE980" s="10"/>
      <c r="AF980" s="10"/>
      <c r="AG980" s="10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</row>
    <row r="981" ht="14.2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  <c r="AE981" s="10"/>
      <c r="AF981" s="10"/>
      <c r="AG981" s="10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</row>
    <row r="982" ht="14.2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  <c r="AE982" s="10"/>
      <c r="AF982" s="10"/>
      <c r="AG982" s="10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</row>
    <row r="983" ht="14.2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  <c r="AE983" s="10"/>
      <c r="AF983" s="10"/>
      <c r="AG983" s="10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</row>
    <row r="984" ht="14.2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  <c r="AE984" s="10"/>
      <c r="AF984" s="10"/>
      <c r="AG984" s="10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</row>
    <row r="985" ht="14.2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  <c r="AE985" s="10"/>
      <c r="AF985" s="10"/>
      <c r="AG985" s="10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</row>
    <row r="986" ht="14.2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  <c r="AE986" s="10"/>
      <c r="AF986" s="10"/>
      <c r="AG986" s="10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</row>
    <row r="987" ht="14.2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  <c r="AE987" s="10"/>
      <c r="AF987" s="10"/>
      <c r="AG987" s="10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</row>
    <row r="988" ht="14.2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  <c r="AE988" s="10"/>
      <c r="AF988" s="10"/>
      <c r="AG988" s="10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</row>
    <row r="989" ht="14.2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  <c r="AE989" s="10"/>
      <c r="AF989" s="10"/>
      <c r="AG989" s="10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</row>
    <row r="990" ht="14.2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  <c r="AE990" s="10"/>
      <c r="AF990" s="10"/>
      <c r="AG990" s="10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</row>
    <row r="991" ht="14.2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  <c r="AE991" s="10"/>
      <c r="AF991" s="10"/>
      <c r="AG991" s="10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</row>
    <row r="992" ht="14.2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  <c r="AE992" s="10"/>
      <c r="AF992" s="10"/>
      <c r="AG992" s="10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</row>
    <row r="993" ht="14.2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  <c r="AE993" s="10"/>
      <c r="AF993" s="10"/>
      <c r="AG993" s="10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</row>
    <row r="994" ht="14.2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  <c r="AE994" s="10"/>
      <c r="AF994" s="10"/>
      <c r="AG994" s="10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</row>
    <row r="995" ht="14.2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  <c r="AE995" s="10"/>
      <c r="AF995" s="10"/>
      <c r="AG995" s="10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</row>
    <row r="996" ht="14.2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  <c r="AE996" s="10"/>
      <c r="AF996" s="10"/>
      <c r="AG996" s="10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</row>
    <row r="997" ht="14.2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  <c r="AE997" s="10"/>
      <c r="AF997" s="10"/>
      <c r="AG997" s="10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</row>
    <row r="998" ht="14.2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  <c r="AE998" s="10"/>
      <c r="AF998" s="10"/>
      <c r="AG998" s="10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</row>
    <row r="999" ht="14.2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  <c r="AE999" s="10"/>
      <c r="AF999" s="10"/>
      <c r="AG999" s="10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</row>
    <row r="1000" ht="14.2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  <c r="AE1000" s="10"/>
      <c r="AF1000" s="10"/>
      <c r="AG1000" s="10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</row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26" width="8.57"/>
  </cols>
  <sheetData>
    <row r="1" ht="14.25" customHeight="1">
      <c r="A1" s="11" t="s">
        <v>125</v>
      </c>
      <c r="B1" s="12"/>
      <c r="C1" s="12"/>
      <c r="D1" s="12"/>
      <c r="E1" s="12"/>
      <c r="F1" s="12"/>
      <c r="G1" s="12"/>
      <c r="H1" s="12"/>
      <c r="I1" s="13"/>
    </row>
    <row r="2" ht="14.25" customHeight="1">
      <c r="A2" s="14"/>
      <c r="I2" s="15"/>
    </row>
    <row r="3" ht="14.25" customHeight="1">
      <c r="A3" s="14"/>
      <c r="I3" s="15"/>
    </row>
    <row r="4" ht="14.25" customHeight="1">
      <c r="A4" s="14"/>
      <c r="I4" s="15"/>
    </row>
    <row r="5" ht="14.25" customHeight="1">
      <c r="A5" s="14"/>
      <c r="I5" s="15"/>
    </row>
    <row r="6" ht="14.25" customHeight="1">
      <c r="A6" s="14"/>
      <c r="I6" s="15"/>
    </row>
    <row r="7" ht="14.25" customHeight="1">
      <c r="A7" s="14"/>
      <c r="I7" s="15"/>
    </row>
    <row r="8" ht="14.25" customHeight="1">
      <c r="A8" s="14"/>
      <c r="I8" s="15"/>
    </row>
    <row r="9" ht="14.25" customHeight="1">
      <c r="A9" s="14"/>
      <c r="I9" s="15"/>
    </row>
    <row r="10" ht="14.25" customHeight="1">
      <c r="A10" s="14"/>
      <c r="I10" s="15"/>
    </row>
    <row r="11" ht="14.25" customHeight="1">
      <c r="A11" s="14"/>
      <c r="I11" s="15"/>
    </row>
    <row r="12" ht="14.25" customHeight="1">
      <c r="A12" s="14"/>
      <c r="I12" s="15"/>
    </row>
    <row r="13" ht="14.25" customHeight="1">
      <c r="A13" s="14"/>
      <c r="I13" s="15"/>
    </row>
    <row r="14" ht="14.25" customHeight="1">
      <c r="A14" s="14"/>
      <c r="I14" s="15"/>
    </row>
    <row r="15" ht="14.25" customHeight="1">
      <c r="A15" s="14"/>
      <c r="I15" s="15"/>
    </row>
    <row r="16" ht="14.25" customHeight="1">
      <c r="A16" s="14"/>
      <c r="I16" s="15"/>
    </row>
    <row r="17" ht="14.25" customHeight="1">
      <c r="A17" s="14"/>
      <c r="I17" s="15"/>
    </row>
    <row r="18" ht="14.25" customHeight="1">
      <c r="A18" s="14"/>
      <c r="I18" s="15"/>
    </row>
    <row r="19" ht="14.25" customHeight="1">
      <c r="A19" s="14"/>
      <c r="I19" s="15"/>
    </row>
    <row r="20" ht="14.25" customHeight="1">
      <c r="A20" s="14"/>
      <c r="I20" s="15"/>
    </row>
    <row r="21" ht="14.25" customHeight="1">
      <c r="A21" s="14"/>
      <c r="I21" s="15"/>
    </row>
    <row r="22" ht="14.25" customHeight="1">
      <c r="A22" s="14"/>
      <c r="I22" s="15"/>
    </row>
    <row r="23" ht="14.25" customHeight="1">
      <c r="A23" s="16"/>
      <c r="B23" s="17"/>
      <c r="C23" s="17"/>
      <c r="D23" s="17"/>
      <c r="E23" s="17"/>
      <c r="F23" s="17"/>
      <c r="G23" s="17"/>
      <c r="H23" s="17"/>
      <c r="I23" s="18"/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A1:I23"/>
  </mergeCells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2.29"/>
    <col customWidth="1" min="3" max="3" width="11.57"/>
    <col customWidth="1" min="4" max="26" width="8.57"/>
  </cols>
  <sheetData>
    <row r="1" ht="14.25" customHeight="1">
      <c r="A1" s="10">
        <v>1.0</v>
      </c>
    </row>
    <row r="2" ht="14.25" customHeight="1">
      <c r="A2" s="10" t="s">
        <v>36</v>
      </c>
    </row>
    <row r="3" ht="14.25" customHeight="1">
      <c r="A3" s="10">
        <v>2.0</v>
      </c>
    </row>
    <row r="4" ht="14.25" customHeight="1">
      <c r="A4" s="10"/>
      <c r="B4" s="19" t="s">
        <v>126</v>
      </c>
      <c r="C4" s="19" t="s">
        <v>30</v>
      </c>
    </row>
    <row r="5" ht="14.25" customHeight="1">
      <c r="A5" s="10"/>
      <c r="B5" s="19" t="str">
        <f>'Previsioni partecipanti'!H1</f>
        <v>Leo Proietti</v>
      </c>
      <c r="C5" s="19">
        <f>'Previsioni partecipanti'!I1</f>
        <v>10</v>
      </c>
    </row>
    <row r="6" ht="14.25" customHeight="1">
      <c r="A6" s="10"/>
      <c r="B6" s="19" t="str">
        <f>'Previsioni partecipanti'!J1</f>
        <v>Jack</v>
      </c>
      <c r="C6" s="19">
        <f>'Previsioni partecipanti'!K1</f>
        <v>10</v>
      </c>
    </row>
    <row r="7" ht="14.25" customHeight="1">
      <c r="A7" s="10"/>
      <c r="B7" s="19" t="str">
        <f>'Previsioni partecipanti'!L1</f>
        <v>Antonella</v>
      </c>
      <c r="C7" s="19">
        <f>'Previsioni partecipanti'!M1</f>
        <v>8</v>
      </c>
    </row>
    <row r="8" ht="14.25" customHeight="1">
      <c r="A8" s="10"/>
      <c r="B8" s="19" t="str">
        <f>'Previsioni partecipanti'!N1</f>
        <v>Vito</v>
      </c>
      <c r="C8" s="19">
        <f>'Previsioni partecipanti'!O1</f>
        <v>6</v>
      </c>
    </row>
    <row r="9" ht="14.25" customHeight="1">
      <c r="A9" s="10"/>
      <c r="B9" s="19" t="str">
        <f>'Previsioni partecipanti'!P1</f>
        <v>Samuele</v>
      </c>
      <c r="C9" s="19">
        <f>'Previsioni partecipanti'!Q1</f>
        <v>8</v>
      </c>
    </row>
    <row r="10" ht="14.25" customHeight="1">
      <c r="A10" s="10"/>
      <c r="B10" s="19" t="str">
        <f>'Previsioni partecipanti'!R1</f>
        <v>Valerio</v>
      </c>
      <c r="C10" s="19">
        <f>'Previsioni partecipanti'!S1</f>
        <v>9</v>
      </c>
    </row>
    <row r="11" ht="14.25" customHeight="1">
      <c r="A11" s="10"/>
      <c r="B11" s="19" t="str">
        <f>'Previsioni partecipanti'!T1</f>
        <v>Edoardo</v>
      </c>
      <c r="C11" s="19">
        <f>'Previsioni partecipanti'!U1</f>
        <v>10</v>
      </c>
    </row>
    <row r="12" ht="14.25" customHeight="1">
      <c r="A12" s="10"/>
      <c r="B12" s="19" t="str">
        <f>'Previsioni partecipanti'!V1</f>
        <v>Tania</v>
      </c>
      <c r="C12" s="19">
        <f>'Previsioni partecipanti'!W1</f>
        <v>10</v>
      </c>
    </row>
    <row r="13" ht="14.25" customHeight="1">
      <c r="A13" s="10"/>
      <c r="B13" s="19" t="str">
        <f>'Previsioni partecipanti'!X1</f>
        <v>Pier</v>
      </c>
      <c r="C13" s="19">
        <f>'Previsioni partecipanti'!Y1</f>
        <v>12</v>
      </c>
    </row>
    <row r="14" ht="14.25" customHeight="1">
      <c r="A14" s="10"/>
      <c r="B14" s="19" t="str">
        <f>'Previsioni partecipanti'!Z1</f>
        <v>Alessandra C.</v>
      </c>
      <c r="C14" s="19">
        <f>'Previsioni partecipanti'!AA1</f>
        <v>12</v>
      </c>
    </row>
    <row r="15" ht="14.25" customHeight="1">
      <c r="A15" s="10"/>
      <c r="B15" s="19" t="str">
        <f>'Previsioni partecipanti'!AB1</f>
        <v>Alessandra P.</v>
      </c>
      <c r="C15" s="19">
        <f>'Previsioni partecipanti'!AC1</f>
        <v>9</v>
      </c>
    </row>
    <row r="16" ht="14.25" customHeight="1">
      <c r="A16" s="10"/>
      <c r="B16" s="19" t="str">
        <f>'Previsioni partecipanti'!AD1</f>
        <v>Claudia A.</v>
      </c>
      <c r="C16" s="19">
        <f>'Previsioni partecipanti'!AE1</f>
        <v>9</v>
      </c>
    </row>
    <row r="17" ht="14.25" customHeight="1">
      <c r="A17" s="10"/>
      <c r="B17" s="19" t="str">
        <f>'Previsioni partecipanti'!AF1</f>
        <v>Marco G.</v>
      </c>
      <c r="C17" s="19">
        <f>'Previsioni partecipanti'!AG1</f>
        <v>12</v>
      </c>
    </row>
    <row r="18" ht="14.25" customHeight="1">
      <c r="A18" s="10"/>
      <c r="B18" s="19" t="str">
        <f>'Previsioni partecipanti'!AH1</f>
        <v>Alessio S.</v>
      </c>
      <c r="C18" s="19">
        <f>'Previsioni partecipanti'!AI1</f>
        <v>12</v>
      </c>
    </row>
    <row r="19" ht="14.25" customHeight="1">
      <c r="A19" s="10"/>
      <c r="B19" s="19" t="str">
        <f>'Previsioni partecipanti'!AJ1</f>
        <v>Alessio R.</v>
      </c>
      <c r="C19" s="19">
        <f>'Previsioni partecipanti'!AK1</f>
        <v>11</v>
      </c>
    </row>
    <row r="20" ht="14.25" customHeight="1">
      <c r="A20" s="10"/>
      <c r="B20" s="19" t="str">
        <f>'Previsioni partecipanti'!AL1</f>
        <v>Marco P.</v>
      </c>
      <c r="C20" s="19">
        <f>'Previsioni partecipanti'!AM1</f>
        <v>9</v>
      </c>
    </row>
    <row r="21" ht="14.25" customHeight="1">
      <c r="A21" s="10"/>
      <c r="B21" s="19" t="str">
        <f>'Previsioni partecipanti'!AN1</f>
        <v>Khawla</v>
      </c>
      <c r="C21" s="19">
        <f>'Previsioni partecipanti'!AO1</f>
        <v>13</v>
      </c>
    </row>
    <row r="22" ht="14.25" customHeight="1">
      <c r="A22" s="10"/>
      <c r="B22" s="19" t="str">
        <f>'Previsioni partecipanti'!AP1</f>
        <v>Federico R.</v>
      </c>
      <c r="C22" s="19">
        <f>'Previsioni partecipanti'!AQ1</f>
        <v>12</v>
      </c>
    </row>
    <row r="23" ht="14.25" customHeight="1">
      <c r="A23" s="10"/>
      <c r="B23" s="19" t="str">
        <f>'Previsioni partecipanti'!AR1</f>
        <v>Claudia S.</v>
      </c>
      <c r="C23" s="19">
        <f>'Previsioni partecipanti'!AS1</f>
        <v>13</v>
      </c>
    </row>
    <row r="24" ht="14.25" customHeight="1">
      <c r="A24" s="10"/>
      <c r="B24" s="19" t="str">
        <f>'Previsioni partecipanti'!AT1</f>
        <v>Leo Policella</v>
      </c>
      <c r="C24" s="19">
        <f>'Previsioni partecipanti'!AU1</f>
        <v>8</v>
      </c>
    </row>
    <row r="25" ht="14.25" customHeight="1">
      <c r="A25" s="10"/>
      <c r="B25" s="19" t="str">
        <f>'Previsioni partecipanti'!AV1</f>
        <v>Maila</v>
      </c>
      <c r="C25" s="19">
        <f>'Previsioni partecipanti'!AW1</f>
        <v>8</v>
      </c>
    </row>
    <row r="26" ht="14.25" customHeight="1">
      <c r="A26" s="10"/>
    </row>
    <row r="27" ht="14.25" customHeight="1">
      <c r="A27" s="10"/>
    </row>
    <row r="28" ht="14.25" customHeight="1">
      <c r="A28" s="10"/>
    </row>
    <row r="29" ht="14.25" customHeight="1">
      <c r="A29" s="10"/>
    </row>
    <row r="30" ht="14.25" customHeight="1">
      <c r="A30" s="10"/>
    </row>
    <row r="31" ht="14.25" customHeight="1">
      <c r="A31" s="10"/>
    </row>
    <row r="32" ht="14.25" customHeight="1">
      <c r="A32" s="10"/>
    </row>
    <row r="33" ht="14.25" customHeight="1">
      <c r="A33" s="10"/>
    </row>
    <row r="34" ht="14.25" customHeight="1">
      <c r="A34" s="10"/>
    </row>
    <row r="35" ht="14.25" customHeight="1">
      <c r="A35" s="10"/>
    </row>
    <row r="36" ht="14.25" customHeight="1">
      <c r="A36" s="10"/>
    </row>
    <row r="37" ht="14.25" customHeight="1">
      <c r="A37" s="10"/>
    </row>
    <row r="38" ht="14.25" customHeight="1">
      <c r="A38" s="10"/>
    </row>
    <row r="39" ht="14.25" customHeight="1">
      <c r="A39" s="10"/>
    </row>
    <row r="40" ht="14.25" customHeight="1">
      <c r="A40" s="10"/>
    </row>
    <row r="41" ht="14.25" customHeight="1">
      <c r="A41" s="10"/>
    </row>
    <row r="42" ht="14.25" customHeight="1">
      <c r="A42" s="10"/>
    </row>
    <row r="43" ht="14.25" customHeight="1">
      <c r="A43" s="10"/>
    </row>
    <row r="44" ht="14.25" customHeight="1">
      <c r="A44" s="10"/>
    </row>
    <row r="45" ht="14.25" customHeight="1">
      <c r="A45" s="10"/>
    </row>
    <row r="46" ht="14.25" customHeight="1">
      <c r="A46" s="10"/>
    </row>
    <row r="47" ht="14.25" customHeight="1">
      <c r="A47" s="10"/>
    </row>
    <row r="48" ht="14.25" customHeight="1">
      <c r="A48" s="10"/>
    </row>
    <row r="49" ht="14.25" customHeight="1">
      <c r="A49" s="10"/>
    </row>
    <row r="50" ht="14.25" customHeight="1">
      <c r="A50" s="10"/>
    </row>
    <row r="51" ht="14.25" customHeight="1">
      <c r="A51" s="10"/>
    </row>
    <row r="52" ht="14.25" customHeight="1">
      <c r="A52" s="10"/>
    </row>
    <row r="53" ht="14.25" customHeight="1">
      <c r="A53" s="10"/>
    </row>
    <row r="54" ht="14.25" customHeight="1">
      <c r="A54" s="10"/>
    </row>
    <row r="55" ht="14.25" customHeight="1">
      <c r="A55" s="10"/>
    </row>
    <row r="56" ht="14.25" customHeight="1">
      <c r="A56" s="10"/>
    </row>
    <row r="57" ht="14.25" customHeight="1">
      <c r="A57" s="10"/>
    </row>
    <row r="58" ht="14.25" customHeight="1">
      <c r="A58" s="10"/>
    </row>
    <row r="59" ht="14.25" customHeight="1">
      <c r="A59" s="10"/>
    </row>
    <row r="60" ht="14.25" customHeight="1">
      <c r="A60" s="10"/>
    </row>
    <row r="61" ht="14.25" customHeight="1">
      <c r="A61" s="10"/>
    </row>
    <row r="62" ht="14.25" customHeight="1">
      <c r="A62" s="10"/>
    </row>
    <row r="63" ht="14.25" customHeight="1">
      <c r="A63" s="10"/>
    </row>
    <row r="64" ht="14.25" customHeight="1">
      <c r="A64" s="10"/>
    </row>
    <row r="65" ht="14.25" customHeight="1">
      <c r="A65" s="10"/>
    </row>
    <row r="66" ht="14.25" customHeight="1">
      <c r="A66" s="10"/>
    </row>
    <row r="67" ht="14.25" customHeight="1">
      <c r="A67" s="10"/>
    </row>
    <row r="68" ht="14.25" customHeight="1">
      <c r="A68" s="10"/>
    </row>
    <row r="69" ht="14.25" customHeight="1">
      <c r="A69" s="10"/>
    </row>
    <row r="70" ht="14.25" customHeight="1">
      <c r="A70" s="10"/>
    </row>
    <row r="71" ht="14.25" customHeight="1">
      <c r="A71" s="10"/>
    </row>
    <row r="72" ht="14.25" customHeight="1">
      <c r="A72" s="10"/>
    </row>
    <row r="73" ht="14.25" customHeight="1">
      <c r="A73" s="10"/>
    </row>
    <row r="74" ht="14.25" customHeight="1">
      <c r="A74" s="10"/>
    </row>
    <row r="75" ht="14.25" customHeight="1">
      <c r="A75" s="10"/>
    </row>
    <row r="76" ht="14.25" customHeight="1">
      <c r="A76" s="10"/>
    </row>
    <row r="77" ht="14.25" customHeight="1">
      <c r="A77" s="10"/>
    </row>
    <row r="78" ht="14.25" customHeight="1">
      <c r="A78" s="10"/>
    </row>
    <row r="79" ht="14.25" customHeight="1">
      <c r="A79" s="10"/>
    </row>
    <row r="80" ht="14.25" customHeight="1">
      <c r="A80" s="10"/>
    </row>
    <row r="81" ht="14.25" customHeight="1">
      <c r="A81" s="10"/>
    </row>
    <row r="82" ht="14.25" customHeight="1">
      <c r="A82" s="10"/>
    </row>
    <row r="83" ht="14.25" customHeight="1">
      <c r="A83" s="10"/>
    </row>
    <row r="84" ht="14.25" customHeight="1">
      <c r="A84" s="10"/>
    </row>
    <row r="85" ht="14.25" customHeight="1">
      <c r="A85" s="10"/>
    </row>
    <row r="86" ht="14.25" customHeight="1">
      <c r="A86" s="10"/>
    </row>
    <row r="87" ht="14.25" customHeight="1">
      <c r="A87" s="10"/>
    </row>
    <row r="88" ht="14.25" customHeight="1">
      <c r="A88" s="10"/>
    </row>
    <row r="89" ht="14.25" customHeight="1">
      <c r="A89" s="10"/>
    </row>
    <row r="90" ht="14.25" customHeight="1">
      <c r="A90" s="10"/>
    </row>
    <row r="91" ht="14.25" customHeight="1">
      <c r="A91" s="10"/>
    </row>
    <row r="92" ht="14.25" customHeight="1">
      <c r="A92" s="10"/>
    </row>
    <row r="93" ht="14.25" customHeight="1">
      <c r="A93" s="10"/>
    </row>
    <row r="94" ht="14.25" customHeight="1">
      <c r="A94" s="10"/>
    </row>
    <row r="95" ht="14.25" customHeight="1">
      <c r="A95" s="10"/>
    </row>
    <row r="96" ht="14.25" customHeight="1">
      <c r="A96" s="10"/>
    </row>
    <row r="97" ht="14.25" customHeight="1">
      <c r="A97" s="10"/>
    </row>
    <row r="98" ht="14.25" customHeight="1">
      <c r="A98" s="10"/>
    </row>
    <row r="99" ht="14.25" customHeight="1">
      <c r="A99" s="10"/>
    </row>
    <row r="100" ht="14.25" customHeight="1">
      <c r="A100" s="10"/>
    </row>
    <row r="101" ht="14.25" customHeight="1">
      <c r="A101" s="10"/>
    </row>
    <row r="102" ht="14.25" customHeight="1">
      <c r="A102" s="10"/>
    </row>
    <row r="103" ht="14.25" customHeight="1">
      <c r="A103" s="10"/>
    </row>
    <row r="104" ht="14.25" customHeight="1">
      <c r="A104" s="10"/>
    </row>
    <row r="105" ht="14.25" customHeight="1">
      <c r="A105" s="10"/>
    </row>
    <row r="106" ht="14.25" customHeight="1">
      <c r="A106" s="10"/>
    </row>
    <row r="107" ht="14.25" customHeight="1">
      <c r="A107" s="10"/>
    </row>
    <row r="108" ht="14.25" customHeight="1">
      <c r="A108" s="10"/>
    </row>
    <row r="109" ht="14.25" customHeight="1">
      <c r="A109" s="10"/>
    </row>
    <row r="110" ht="14.25" customHeight="1">
      <c r="A110" s="10"/>
    </row>
    <row r="111" ht="14.25" customHeight="1">
      <c r="A111" s="10"/>
    </row>
    <row r="112" ht="14.25" customHeight="1">
      <c r="A112" s="10"/>
    </row>
    <row r="113" ht="14.25" customHeight="1">
      <c r="A113" s="10"/>
    </row>
    <row r="114" ht="14.25" customHeight="1">
      <c r="A114" s="10"/>
    </row>
    <row r="115" ht="14.25" customHeight="1">
      <c r="A115" s="10"/>
    </row>
    <row r="116" ht="14.25" customHeight="1">
      <c r="A116" s="10"/>
    </row>
    <row r="117" ht="14.25" customHeight="1">
      <c r="A117" s="10"/>
    </row>
    <row r="118" ht="14.25" customHeight="1">
      <c r="A118" s="10"/>
    </row>
    <row r="119" ht="14.25" customHeight="1">
      <c r="A119" s="10"/>
    </row>
    <row r="120" ht="14.25" customHeight="1">
      <c r="A120" s="10"/>
    </row>
    <row r="121" ht="14.25" customHeight="1">
      <c r="A121" s="10"/>
    </row>
    <row r="122" ht="14.25" customHeight="1">
      <c r="A122" s="10"/>
    </row>
    <row r="123" ht="14.25" customHeight="1">
      <c r="A123" s="10"/>
    </row>
    <row r="124" ht="14.25" customHeight="1">
      <c r="A124" s="10"/>
    </row>
    <row r="125" ht="14.25" customHeight="1">
      <c r="A125" s="10"/>
    </row>
    <row r="126" ht="14.25" customHeight="1">
      <c r="A126" s="10"/>
    </row>
    <row r="127" ht="14.25" customHeight="1">
      <c r="A127" s="10"/>
    </row>
    <row r="128" ht="14.25" customHeight="1">
      <c r="A128" s="10"/>
    </row>
    <row r="129" ht="14.25" customHeight="1">
      <c r="A129" s="10"/>
    </row>
    <row r="130" ht="14.25" customHeight="1">
      <c r="A130" s="10"/>
    </row>
    <row r="131" ht="14.25" customHeight="1">
      <c r="A131" s="10"/>
    </row>
    <row r="132" ht="14.25" customHeight="1">
      <c r="A132" s="10"/>
    </row>
    <row r="133" ht="14.25" customHeight="1">
      <c r="A133" s="10"/>
    </row>
    <row r="134" ht="14.25" customHeight="1">
      <c r="A134" s="10"/>
    </row>
    <row r="135" ht="14.25" customHeight="1">
      <c r="A135" s="10"/>
    </row>
    <row r="136" ht="14.25" customHeight="1">
      <c r="A136" s="10"/>
    </row>
    <row r="137" ht="14.25" customHeight="1">
      <c r="A137" s="10"/>
    </row>
    <row r="138" ht="14.25" customHeight="1">
      <c r="A138" s="10"/>
    </row>
    <row r="139" ht="14.25" customHeight="1">
      <c r="A139" s="10"/>
    </row>
    <row r="140" ht="14.25" customHeight="1">
      <c r="A140" s="10"/>
    </row>
    <row r="141" ht="14.25" customHeight="1">
      <c r="A141" s="10"/>
    </row>
    <row r="142" ht="14.25" customHeight="1">
      <c r="A142" s="10"/>
    </row>
    <row r="143" ht="14.25" customHeight="1">
      <c r="A143" s="10"/>
    </row>
    <row r="144" ht="14.25" customHeight="1">
      <c r="A144" s="10"/>
    </row>
    <row r="145" ht="14.25" customHeight="1">
      <c r="A145" s="10"/>
    </row>
    <row r="146" ht="14.25" customHeight="1">
      <c r="A146" s="10"/>
    </row>
    <row r="147" ht="14.25" customHeight="1">
      <c r="A147" s="10"/>
    </row>
    <row r="148" ht="14.25" customHeight="1">
      <c r="A148" s="10"/>
    </row>
    <row r="149" ht="14.25" customHeight="1">
      <c r="A149" s="10"/>
    </row>
    <row r="150" ht="14.25" customHeight="1">
      <c r="A150" s="10"/>
    </row>
    <row r="151" ht="14.25" customHeight="1">
      <c r="A151" s="10"/>
    </row>
    <row r="152" ht="14.25" customHeight="1">
      <c r="A152" s="10"/>
    </row>
    <row r="153" ht="14.25" customHeight="1">
      <c r="A153" s="10"/>
    </row>
    <row r="154" ht="14.25" customHeight="1">
      <c r="A154" s="10"/>
    </row>
    <row r="155" ht="14.25" customHeight="1">
      <c r="A155" s="10"/>
    </row>
    <row r="156" ht="14.25" customHeight="1">
      <c r="A156" s="10"/>
    </row>
    <row r="157" ht="14.25" customHeight="1">
      <c r="A157" s="10"/>
    </row>
    <row r="158" ht="14.25" customHeight="1">
      <c r="A158" s="10"/>
    </row>
    <row r="159" ht="14.25" customHeight="1">
      <c r="A159" s="10"/>
    </row>
    <row r="160" ht="14.25" customHeight="1">
      <c r="A160" s="10"/>
    </row>
    <row r="161" ht="14.25" customHeight="1">
      <c r="A161" s="10"/>
    </row>
    <row r="162" ht="14.25" customHeight="1">
      <c r="A162" s="10"/>
    </row>
    <row r="163" ht="14.25" customHeight="1">
      <c r="A163" s="10"/>
    </row>
    <row r="164" ht="14.25" customHeight="1">
      <c r="A164" s="10"/>
    </row>
    <row r="165" ht="14.25" customHeight="1">
      <c r="A165" s="10"/>
    </row>
    <row r="166" ht="14.25" customHeight="1">
      <c r="A166" s="10"/>
    </row>
    <row r="167" ht="14.25" customHeight="1">
      <c r="A167" s="10"/>
    </row>
    <row r="168" ht="14.25" customHeight="1">
      <c r="A168" s="10"/>
    </row>
    <row r="169" ht="14.25" customHeight="1">
      <c r="A169" s="10"/>
    </row>
    <row r="170" ht="14.25" customHeight="1">
      <c r="A170" s="10"/>
    </row>
    <row r="171" ht="14.25" customHeight="1">
      <c r="A171" s="10"/>
    </row>
    <row r="172" ht="14.25" customHeight="1">
      <c r="A172" s="10"/>
    </row>
    <row r="173" ht="14.25" customHeight="1">
      <c r="A173" s="10"/>
    </row>
    <row r="174" ht="14.25" customHeight="1">
      <c r="A174" s="10"/>
    </row>
    <row r="175" ht="14.25" customHeight="1">
      <c r="A175" s="10"/>
    </row>
    <row r="176" ht="14.25" customHeight="1">
      <c r="A176" s="10"/>
    </row>
    <row r="177" ht="14.25" customHeight="1">
      <c r="A177" s="10"/>
    </row>
    <row r="178" ht="14.25" customHeight="1">
      <c r="A178" s="10"/>
    </row>
    <row r="179" ht="14.25" customHeight="1">
      <c r="A179" s="10"/>
    </row>
    <row r="180" ht="14.25" customHeight="1">
      <c r="A180" s="10"/>
    </row>
    <row r="181" ht="14.25" customHeight="1">
      <c r="A181" s="10"/>
    </row>
    <row r="182" ht="14.25" customHeight="1">
      <c r="A182" s="10"/>
    </row>
    <row r="183" ht="14.25" customHeight="1">
      <c r="A183" s="10"/>
    </row>
    <row r="184" ht="14.25" customHeight="1">
      <c r="A184" s="10"/>
    </row>
    <row r="185" ht="14.25" customHeight="1">
      <c r="A185" s="10"/>
    </row>
    <row r="186" ht="14.25" customHeight="1">
      <c r="A186" s="10"/>
    </row>
    <row r="187" ht="14.25" customHeight="1">
      <c r="A187" s="10"/>
    </row>
    <row r="188" ht="14.25" customHeight="1">
      <c r="A188" s="10"/>
    </row>
    <row r="189" ht="14.25" customHeight="1">
      <c r="A189" s="10"/>
    </row>
    <row r="190" ht="14.25" customHeight="1">
      <c r="A190" s="10"/>
    </row>
    <row r="191" ht="14.25" customHeight="1">
      <c r="A191" s="10"/>
    </row>
    <row r="192" ht="14.25" customHeight="1">
      <c r="A192" s="10"/>
    </row>
    <row r="193" ht="14.25" customHeight="1">
      <c r="A193" s="10"/>
    </row>
    <row r="194" ht="14.25" customHeight="1">
      <c r="A194" s="10"/>
    </row>
    <row r="195" ht="14.25" customHeight="1">
      <c r="A195" s="10"/>
    </row>
    <row r="196" ht="14.25" customHeight="1">
      <c r="A196" s="10"/>
    </row>
    <row r="197" ht="14.25" customHeight="1">
      <c r="A197" s="10"/>
    </row>
    <row r="198" ht="14.25" customHeight="1">
      <c r="A198" s="10"/>
    </row>
    <row r="199" ht="14.25" customHeight="1">
      <c r="A199" s="10"/>
    </row>
    <row r="200" ht="14.25" customHeight="1">
      <c r="A200" s="10"/>
    </row>
    <row r="201" ht="14.25" customHeight="1">
      <c r="A201" s="10"/>
    </row>
    <row r="202" ht="14.25" customHeight="1">
      <c r="A202" s="10"/>
    </row>
    <row r="203" ht="14.25" customHeight="1">
      <c r="A203" s="10"/>
    </row>
    <row r="204" ht="14.25" customHeight="1">
      <c r="A204" s="10"/>
    </row>
    <row r="205" ht="14.25" customHeight="1">
      <c r="A205" s="10"/>
    </row>
    <row r="206" ht="14.25" customHeight="1">
      <c r="A206" s="10"/>
    </row>
    <row r="207" ht="14.25" customHeight="1">
      <c r="A207" s="10"/>
    </row>
    <row r="208" ht="14.25" customHeight="1">
      <c r="A208" s="10"/>
    </row>
    <row r="209" ht="14.25" customHeight="1">
      <c r="A209" s="10"/>
    </row>
    <row r="210" ht="14.25" customHeight="1">
      <c r="A210" s="10"/>
    </row>
    <row r="211" ht="14.25" customHeight="1">
      <c r="A211" s="10"/>
    </row>
    <row r="212" ht="14.25" customHeight="1">
      <c r="A212" s="10"/>
    </row>
    <row r="213" ht="14.25" customHeight="1">
      <c r="A213" s="10"/>
    </row>
    <row r="214" ht="14.25" customHeight="1">
      <c r="A214" s="10"/>
    </row>
    <row r="215" ht="14.25" customHeight="1">
      <c r="A215" s="10"/>
    </row>
    <row r="216" ht="14.25" customHeight="1">
      <c r="A216" s="10"/>
    </row>
    <row r="217" ht="14.25" customHeight="1">
      <c r="A217" s="10"/>
    </row>
    <row r="218" ht="14.25" customHeight="1">
      <c r="A218" s="10"/>
    </row>
    <row r="219" ht="14.25" customHeight="1">
      <c r="A219" s="10"/>
    </row>
    <row r="220" ht="14.25" customHeight="1">
      <c r="A220" s="10"/>
    </row>
    <row r="221" ht="14.25" customHeight="1">
      <c r="A221" s="10"/>
    </row>
    <row r="222" ht="14.25" customHeight="1">
      <c r="A222" s="10"/>
    </row>
    <row r="223" ht="14.25" customHeight="1">
      <c r="A223" s="10"/>
    </row>
    <row r="224" ht="14.25" customHeight="1">
      <c r="A224" s="10"/>
    </row>
    <row r="225" ht="14.25" customHeight="1">
      <c r="A225" s="10"/>
    </row>
    <row r="226" ht="14.25" customHeight="1">
      <c r="A226" s="10"/>
    </row>
    <row r="227" ht="14.25" customHeight="1">
      <c r="A227" s="10"/>
    </row>
    <row r="228" ht="14.25" customHeight="1">
      <c r="A228" s="10"/>
    </row>
    <row r="229" ht="14.25" customHeight="1">
      <c r="A229" s="10"/>
    </row>
    <row r="230" ht="14.25" customHeight="1">
      <c r="A230" s="10"/>
    </row>
    <row r="231" ht="14.25" customHeight="1">
      <c r="A231" s="10"/>
    </row>
    <row r="232" ht="14.25" customHeight="1">
      <c r="A232" s="10"/>
    </row>
    <row r="233" ht="14.25" customHeight="1">
      <c r="A233" s="10"/>
    </row>
    <row r="234" ht="14.25" customHeight="1">
      <c r="A234" s="10"/>
    </row>
    <row r="235" ht="14.25" customHeight="1">
      <c r="A235" s="10"/>
    </row>
    <row r="236" ht="14.25" customHeight="1">
      <c r="A236" s="10"/>
    </row>
    <row r="237" ht="14.25" customHeight="1">
      <c r="A237" s="10"/>
    </row>
    <row r="238" ht="14.25" customHeight="1">
      <c r="A238" s="10"/>
    </row>
    <row r="239" ht="14.25" customHeight="1">
      <c r="A239" s="10"/>
    </row>
    <row r="240" ht="14.25" customHeight="1">
      <c r="A240" s="10"/>
    </row>
    <row r="241" ht="14.25" customHeight="1">
      <c r="A241" s="10"/>
    </row>
    <row r="242" ht="14.25" customHeight="1">
      <c r="A242" s="10"/>
    </row>
    <row r="243" ht="14.25" customHeight="1">
      <c r="A243" s="10"/>
    </row>
    <row r="244" ht="14.25" customHeight="1">
      <c r="A244" s="10"/>
    </row>
    <row r="245" ht="14.25" customHeight="1">
      <c r="A245" s="10"/>
    </row>
    <row r="246" ht="14.25" customHeight="1">
      <c r="A246" s="10"/>
    </row>
    <row r="247" ht="14.25" customHeight="1">
      <c r="A247" s="10"/>
    </row>
    <row r="248" ht="14.25" customHeight="1">
      <c r="A248" s="10"/>
    </row>
    <row r="249" ht="14.25" customHeight="1">
      <c r="A249" s="10"/>
    </row>
    <row r="250" ht="14.25" customHeight="1">
      <c r="A250" s="10"/>
    </row>
    <row r="251" ht="14.25" customHeight="1">
      <c r="A251" s="10"/>
    </row>
    <row r="252" ht="14.25" customHeight="1">
      <c r="A252" s="10"/>
    </row>
    <row r="253" ht="14.25" customHeight="1">
      <c r="A253" s="10"/>
    </row>
    <row r="254" ht="14.25" customHeight="1">
      <c r="A254" s="10"/>
    </row>
    <row r="255" ht="14.25" customHeight="1">
      <c r="A255" s="10"/>
    </row>
    <row r="256" ht="14.25" customHeight="1">
      <c r="A256" s="10"/>
    </row>
    <row r="257" ht="14.25" customHeight="1">
      <c r="A257" s="10"/>
    </row>
    <row r="258" ht="14.25" customHeight="1">
      <c r="A258" s="10"/>
    </row>
    <row r="259" ht="14.25" customHeight="1">
      <c r="A259" s="10"/>
    </row>
    <row r="260" ht="14.25" customHeight="1">
      <c r="A260" s="10"/>
    </row>
    <row r="261" ht="14.25" customHeight="1">
      <c r="A261" s="10"/>
    </row>
    <row r="262" ht="14.25" customHeight="1">
      <c r="A262" s="10"/>
    </row>
    <row r="263" ht="14.25" customHeight="1">
      <c r="A263" s="10"/>
    </row>
    <row r="264" ht="14.25" customHeight="1">
      <c r="A264" s="10"/>
    </row>
    <row r="265" ht="14.25" customHeight="1">
      <c r="A265" s="10"/>
    </row>
    <row r="266" ht="14.25" customHeight="1">
      <c r="A266" s="10"/>
    </row>
    <row r="267" ht="14.25" customHeight="1">
      <c r="A267" s="10"/>
    </row>
    <row r="268" ht="14.25" customHeight="1">
      <c r="A268" s="10"/>
    </row>
    <row r="269" ht="14.25" customHeight="1">
      <c r="A269" s="10"/>
    </row>
    <row r="270" ht="14.25" customHeight="1">
      <c r="A270" s="10"/>
    </row>
    <row r="271" ht="14.25" customHeight="1">
      <c r="A271" s="10"/>
    </row>
    <row r="272" ht="14.25" customHeight="1">
      <c r="A272" s="10"/>
    </row>
    <row r="273" ht="14.25" customHeight="1">
      <c r="A273" s="10"/>
    </row>
    <row r="274" ht="14.25" customHeight="1">
      <c r="A274" s="10"/>
    </row>
    <row r="275" ht="14.25" customHeight="1">
      <c r="A275" s="10"/>
    </row>
    <row r="276" ht="14.25" customHeight="1">
      <c r="A276" s="10"/>
    </row>
    <row r="277" ht="14.25" customHeight="1">
      <c r="A277" s="10"/>
    </row>
    <row r="278" ht="14.25" customHeight="1">
      <c r="A278" s="10"/>
    </row>
    <row r="279" ht="14.25" customHeight="1">
      <c r="A279" s="10"/>
    </row>
    <row r="280" ht="14.25" customHeight="1">
      <c r="A280" s="10"/>
    </row>
    <row r="281" ht="14.25" customHeight="1">
      <c r="A281" s="10"/>
    </row>
    <row r="282" ht="14.25" customHeight="1">
      <c r="A282" s="10"/>
    </row>
    <row r="283" ht="14.25" customHeight="1">
      <c r="A283" s="10"/>
    </row>
    <row r="284" ht="14.25" customHeight="1">
      <c r="A284" s="10"/>
    </row>
    <row r="285" ht="14.25" customHeight="1">
      <c r="A285" s="10"/>
    </row>
    <row r="286" ht="14.25" customHeight="1">
      <c r="A286" s="10"/>
    </row>
    <row r="287" ht="14.25" customHeight="1">
      <c r="A287" s="10"/>
    </row>
    <row r="288" ht="14.25" customHeight="1">
      <c r="A288" s="10"/>
    </row>
    <row r="289" ht="14.25" customHeight="1">
      <c r="A289" s="10"/>
    </row>
    <row r="290" ht="14.25" customHeight="1">
      <c r="A290" s="10"/>
    </row>
    <row r="291" ht="14.25" customHeight="1">
      <c r="A291" s="10"/>
    </row>
    <row r="292" ht="14.25" customHeight="1">
      <c r="A292" s="10"/>
    </row>
    <row r="293" ht="14.25" customHeight="1">
      <c r="A293" s="10"/>
    </row>
    <row r="294" ht="14.25" customHeight="1">
      <c r="A294" s="10"/>
    </row>
    <row r="295" ht="14.25" customHeight="1">
      <c r="A295" s="10"/>
    </row>
    <row r="296" ht="14.25" customHeight="1">
      <c r="A296" s="10"/>
    </row>
    <row r="297" ht="14.25" customHeight="1">
      <c r="A297" s="10"/>
    </row>
    <row r="298" ht="14.25" customHeight="1">
      <c r="A298" s="10"/>
    </row>
    <row r="299" ht="14.25" customHeight="1">
      <c r="A299" s="10"/>
    </row>
    <row r="300" ht="14.25" customHeight="1">
      <c r="A300" s="10"/>
    </row>
    <row r="301" ht="14.25" customHeight="1">
      <c r="A301" s="10"/>
    </row>
    <row r="302" ht="14.25" customHeight="1">
      <c r="A302" s="10"/>
    </row>
    <row r="303" ht="14.25" customHeight="1">
      <c r="A303" s="10"/>
    </row>
    <row r="304" ht="14.25" customHeight="1">
      <c r="A304" s="10"/>
    </row>
    <row r="305" ht="14.25" customHeight="1">
      <c r="A305" s="10"/>
    </row>
    <row r="306" ht="14.25" customHeight="1">
      <c r="A306" s="10"/>
    </row>
    <row r="307" ht="14.25" customHeight="1">
      <c r="A307" s="10"/>
    </row>
    <row r="308" ht="14.25" customHeight="1">
      <c r="A308" s="10"/>
    </row>
    <row r="309" ht="14.25" customHeight="1">
      <c r="A309" s="10"/>
    </row>
    <row r="310" ht="14.25" customHeight="1">
      <c r="A310" s="10"/>
    </row>
    <row r="311" ht="14.25" customHeight="1">
      <c r="A311" s="10"/>
    </row>
    <row r="312" ht="14.25" customHeight="1">
      <c r="A312" s="10"/>
    </row>
    <row r="313" ht="14.25" customHeight="1">
      <c r="A313" s="10"/>
    </row>
    <row r="314" ht="14.25" customHeight="1">
      <c r="A314" s="10"/>
    </row>
    <row r="315" ht="14.25" customHeight="1">
      <c r="A315" s="10"/>
    </row>
    <row r="316" ht="14.25" customHeight="1">
      <c r="A316" s="10"/>
    </row>
    <row r="317" ht="14.25" customHeight="1">
      <c r="A317" s="10"/>
    </row>
    <row r="318" ht="14.25" customHeight="1">
      <c r="A318" s="10"/>
    </row>
    <row r="319" ht="14.25" customHeight="1">
      <c r="A319" s="10"/>
    </row>
    <row r="320" ht="14.25" customHeight="1">
      <c r="A320" s="10"/>
    </row>
    <row r="321" ht="14.25" customHeight="1">
      <c r="A321" s="10"/>
    </row>
    <row r="322" ht="14.25" customHeight="1">
      <c r="A322" s="10"/>
    </row>
    <row r="323" ht="14.25" customHeight="1">
      <c r="A323" s="10"/>
    </row>
    <row r="324" ht="14.25" customHeight="1">
      <c r="A324" s="10"/>
    </row>
    <row r="325" ht="14.25" customHeight="1">
      <c r="A325" s="10"/>
    </row>
    <row r="326" ht="14.25" customHeight="1">
      <c r="A326" s="10"/>
    </row>
    <row r="327" ht="14.25" customHeight="1">
      <c r="A327" s="10"/>
    </row>
    <row r="328" ht="14.25" customHeight="1">
      <c r="A328" s="10"/>
    </row>
    <row r="329" ht="14.25" customHeight="1">
      <c r="A329" s="10"/>
    </row>
    <row r="330" ht="14.25" customHeight="1">
      <c r="A330" s="10"/>
    </row>
    <row r="331" ht="14.25" customHeight="1">
      <c r="A331" s="10"/>
    </row>
    <row r="332" ht="14.25" customHeight="1">
      <c r="A332" s="10"/>
    </row>
    <row r="333" ht="14.25" customHeight="1">
      <c r="A333" s="10"/>
    </row>
    <row r="334" ht="14.25" customHeight="1">
      <c r="A334" s="10"/>
    </row>
    <row r="335" ht="14.25" customHeight="1">
      <c r="A335" s="10"/>
    </row>
    <row r="336" ht="14.25" customHeight="1">
      <c r="A336" s="10"/>
    </row>
    <row r="337" ht="14.25" customHeight="1">
      <c r="A337" s="10"/>
    </row>
    <row r="338" ht="14.25" customHeight="1">
      <c r="A338" s="10"/>
    </row>
    <row r="339" ht="14.25" customHeight="1">
      <c r="A339" s="10"/>
    </row>
    <row r="340" ht="14.25" customHeight="1">
      <c r="A340" s="10"/>
    </row>
    <row r="341" ht="14.25" customHeight="1">
      <c r="A341" s="10"/>
    </row>
    <row r="342" ht="14.25" customHeight="1">
      <c r="A342" s="10"/>
    </row>
    <row r="343" ht="14.25" customHeight="1">
      <c r="A343" s="10"/>
    </row>
    <row r="344" ht="14.25" customHeight="1">
      <c r="A344" s="10"/>
    </row>
    <row r="345" ht="14.25" customHeight="1">
      <c r="A345" s="10"/>
    </row>
    <row r="346" ht="14.25" customHeight="1">
      <c r="A346" s="10"/>
    </row>
    <row r="347" ht="14.25" customHeight="1">
      <c r="A347" s="10"/>
    </row>
    <row r="348" ht="14.25" customHeight="1">
      <c r="A348" s="10"/>
    </row>
    <row r="349" ht="14.25" customHeight="1">
      <c r="A349" s="10"/>
    </row>
    <row r="350" ht="14.25" customHeight="1">
      <c r="A350" s="10"/>
    </row>
    <row r="351" ht="14.25" customHeight="1">
      <c r="A351" s="10"/>
    </row>
    <row r="352" ht="14.25" customHeight="1">
      <c r="A352" s="10"/>
    </row>
    <row r="353" ht="14.25" customHeight="1">
      <c r="A353" s="10"/>
    </row>
    <row r="354" ht="14.25" customHeight="1">
      <c r="A354" s="10"/>
    </row>
    <row r="355" ht="14.25" customHeight="1">
      <c r="A355" s="10"/>
    </row>
    <row r="356" ht="14.25" customHeight="1">
      <c r="A356" s="10"/>
    </row>
    <row r="357" ht="14.25" customHeight="1">
      <c r="A357" s="10"/>
    </row>
    <row r="358" ht="14.25" customHeight="1">
      <c r="A358" s="10"/>
    </row>
    <row r="359" ht="14.25" customHeight="1">
      <c r="A359" s="10"/>
    </row>
    <row r="360" ht="14.25" customHeight="1">
      <c r="A360" s="10"/>
    </row>
    <row r="361" ht="14.25" customHeight="1">
      <c r="A361" s="10"/>
    </row>
    <row r="362" ht="14.25" customHeight="1">
      <c r="A362" s="10"/>
    </row>
    <row r="363" ht="14.25" customHeight="1">
      <c r="A363" s="10"/>
    </row>
    <row r="364" ht="14.25" customHeight="1">
      <c r="A364" s="10"/>
    </row>
    <row r="365" ht="14.25" customHeight="1">
      <c r="A365" s="10"/>
    </row>
    <row r="366" ht="14.25" customHeight="1">
      <c r="A366" s="10"/>
    </row>
    <row r="367" ht="14.25" customHeight="1">
      <c r="A367" s="10"/>
    </row>
    <row r="368" ht="14.25" customHeight="1">
      <c r="A368" s="10"/>
    </row>
    <row r="369" ht="14.25" customHeight="1">
      <c r="A369" s="10"/>
    </row>
    <row r="370" ht="14.25" customHeight="1">
      <c r="A370" s="10"/>
    </row>
    <row r="371" ht="14.25" customHeight="1">
      <c r="A371" s="10"/>
    </row>
    <row r="372" ht="14.25" customHeight="1">
      <c r="A372" s="10"/>
    </row>
    <row r="373" ht="14.25" customHeight="1">
      <c r="A373" s="10"/>
    </row>
    <row r="374" ht="14.25" customHeight="1">
      <c r="A374" s="10"/>
    </row>
    <row r="375" ht="14.25" customHeight="1">
      <c r="A375" s="10"/>
    </row>
    <row r="376" ht="14.25" customHeight="1">
      <c r="A376" s="10"/>
    </row>
    <row r="377" ht="14.25" customHeight="1">
      <c r="A377" s="10"/>
    </row>
    <row r="378" ht="14.25" customHeight="1">
      <c r="A378" s="10"/>
    </row>
    <row r="379" ht="14.25" customHeight="1">
      <c r="A379" s="10"/>
    </row>
    <row r="380" ht="14.25" customHeight="1">
      <c r="A380" s="10"/>
    </row>
    <row r="381" ht="14.25" customHeight="1">
      <c r="A381" s="10"/>
    </row>
    <row r="382" ht="14.25" customHeight="1">
      <c r="A382" s="10"/>
    </row>
    <row r="383" ht="14.25" customHeight="1">
      <c r="A383" s="10"/>
    </row>
    <row r="384" ht="14.25" customHeight="1">
      <c r="A384" s="10"/>
    </row>
    <row r="385" ht="14.25" customHeight="1">
      <c r="A385" s="10"/>
    </row>
    <row r="386" ht="14.25" customHeight="1">
      <c r="A386" s="10"/>
    </row>
    <row r="387" ht="14.25" customHeight="1">
      <c r="A387" s="10"/>
    </row>
    <row r="388" ht="14.25" customHeight="1">
      <c r="A388" s="10"/>
    </row>
    <row r="389" ht="14.25" customHeight="1">
      <c r="A389" s="10"/>
    </row>
    <row r="390" ht="14.25" customHeight="1">
      <c r="A390" s="10"/>
    </row>
    <row r="391" ht="14.25" customHeight="1">
      <c r="A391" s="10"/>
    </row>
    <row r="392" ht="14.25" customHeight="1">
      <c r="A392" s="10"/>
    </row>
    <row r="393" ht="14.25" customHeight="1">
      <c r="A393" s="10"/>
    </row>
    <row r="394" ht="14.25" customHeight="1">
      <c r="A394" s="10"/>
    </row>
    <row r="395" ht="14.25" customHeight="1">
      <c r="A395" s="10"/>
    </row>
    <row r="396" ht="14.25" customHeight="1">
      <c r="A396" s="10"/>
    </row>
    <row r="397" ht="14.25" customHeight="1">
      <c r="A397" s="10"/>
    </row>
    <row r="398" ht="14.25" customHeight="1">
      <c r="A398" s="10"/>
    </row>
    <row r="399" ht="14.25" customHeight="1">
      <c r="A399" s="10"/>
    </row>
    <row r="400" ht="14.25" customHeight="1">
      <c r="A400" s="10"/>
    </row>
    <row r="401" ht="14.25" customHeight="1">
      <c r="A401" s="10"/>
    </row>
    <row r="402" ht="14.25" customHeight="1">
      <c r="A402" s="10"/>
    </row>
    <row r="403" ht="14.25" customHeight="1">
      <c r="A403" s="10"/>
    </row>
    <row r="404" ht="14.25" customHeight="1">
      <c r="A404" s="10"/>
    </row>
    <row r="405" ht="14.25" customHeight="1">
      <c r="A405" s="10"/>
    </row>
    <row r="406" ht="14.25" customHeight="1">
      <c r="A406" s="10"/>
    </row>
    <row r="407" ht="14.25" customHeight="1">
      <c r="A407" s="10"/>
    </row>
    <row r="408" ht="14.25" customHeight="1">
      <c r="A408" s="10"/>
    </row>
    <row r="409" ht="14.25" customHeight="1">
      <c r="A409" s="10"/>
    </row>
    <row r="410" ht="14.25" customHeight="1">
      <c r="A410" s="10"/>
    </row>
    <row r="411" ht="14.25" customHeight="1">
      <c r="A411" s="10"/>
    </row>
    <row r="412" ht="14.25" customHeight="1">
      <c r="A412" s="10"/>
    </row>
    <row r="413" ht="14.25" customHeight="1">
      <c r="A413" s="10"/>
    </row>
    <row r="414" ht="14.25" customHeight="1">
      <c r="A414" s="10"/>
    </row>
    <row r="415" ht="14.25" customHeight="1">
      <c r="A415" s="10"/>
    </row>
    <row r="416" ht="14.25" customHeight="1">
      <c r="A416" s="10"/>
    </row>
    <row r="417" ht="14.25" customHeight="1">
      <c r="A417" s="10"/>
    </row>
    <row r="418" ht="14.25" customHeight="1">
      <c r="A418" s="10"/>
    </row>
    <row r="419" ht="14.25" customHeight="1">
      <c r="A419" s="10"/>
    </row>
    <row r="420" ht="14.25" customHeight="1">
      <c r="A420" s="10"/>
    </row>
    <row r="421" ht="14.25" customHeight="1">
      <c r="A421" s="10"/>
    </row>
    <row r="422" ht="14.25" customHeight="1">
      <c r="A422" s="10"/>
    </row>
    <row r="423" ht="14.25" customHeight="1">
      <c r="A423" s="10"/>
    </row>
    <row r="424" ht="14.25" customHeight="1">
      <c r="A424" s="10"/>
    </row>
    <row r="425" ht="14.25" customHeight="1">
      <c r="A425" s="10"/>
    </row>
    <row r="426" ht="14.25" customHeight="1">
      <c r="A426" s="10"/>
    </row>
    <row r="427" ht="14.25" customHeight="1">
      <c r="A427" s="10"/>
    </row>
    <row r="428" ht="14.25" customHeight="1">
      <c r="A428" s="10"/>
    </row>
    <row r="429" ht="14.25" customHeight="1">
      <c r="A429" s="10"/>
    </row>
    <row r="430" ht="14.25" customHeight="1">
      <c r="A430" s="10"/>
    </row>
    <row r="431" ht="14.25" customHeight="1">
      <c r="A431" s="10"/>
    </row>
    <row r="432" ht="14.25" customHeight="1">
      <c r="A432" s="10"/>
    </row>
    <row r="433" ht="14.25" customHeight="1">
      <c r="A433" s="10"/>
    </row>
    <row r="434" ht="14.25" customHeight="1">
      <c r="A434" s="10"/>
    </row>
    <row r="435" ht="14.25" customHeight="1">
      <c r="A435" s="10"/>
    </row>
    <row r="436" ht="14.25" customHeight="1">
      <c r="A436" s="10"/>
    </row>
    <row r="437" ht="14.25" customHeight="1">
      <c r="A437" s="10"/>
    </row>
    <row r="438" ht="14.25" customHeight="1">
      <c r="A438" s="10"/>
    </row>
    <row r="439" ht="14.25" customHeight="1">
      <c r="A439" s="10"/>
    </row>
    <row r="440" ht="14.25" customHeight="1">
      <c r="A440" s="10"/>
    </row>
    <row r="441" ht="14.25" customHeight="1">
      <c r="A441" s="10"/>
    </row>
    <row r="442" ht="14.25" customHeight="1">
      <c r="A442" s="10"/>
    </row>
    <row r="443" ht="14.25" customHeight="1">
      <c r="A443" s="10"/>
    </row>
    <row r="444" ht="14.25" customHeight="1">
      <c r="A444" s="10"/>
    </row>
    <row r="445" ht="14.25" customHeight="1">
      <c r="A445" s="10"/>
    </row>
    <row r="446" ht="14.25" customHeight="1">
      <c r="A446" s="10"/>
    </row>
    <row r="447" ht="14.25" customHeight="1">
      <c r="A447" s="10"/>
    </row>
    <row r="448" ht="14.25" customHeight="1">
      <c r="A448" s="10"/>
    </row>
    <row r="449" ht="14.25" customHeight="1">
      <c r="A449" s="10"/>
    </row>
    <row r="450" ht="14.25" customHeight="1">
      <c r="A450" s="10"/>
    </row>
    <row r="451" ht="14.25" customHeight="1">
      <c r="A451" s="10"/>
    </row>
    <row r="452" ht="14.25" customHeight="1">
      <c r="A452" s="10"/>
    </row>
    <row r="453" ht="14.25" customHeight="1">
      <c r="A453" s="10"/>
    </row>
    <row r="454" ht="14.25" customHeight="1">
      <c r="A454" s="10"/>
    </row>
    <row r="455" ht="14.25" customHeight="1">
      <c r="A455" s="10"/>
    </row>
    <row r="456" ht="14.25" customHeight="1">
      <c r="A456" s="10"/>
    </row>
    <row r="457" ht="14.25" customHeight="1">
      <c r="A457" s="10"/>
    </row>
    <row r="458" ht="14.25" customHeight="1">
      <c r="A458" s="10"/>
    </row>
    <row r="459" ht="14.25" customHeight="1">
      <c r="A459" s="10"/>
    </row>
    <row r="460" ht="14.25" customHeight="1">
      <c r="A460" s="10"/>
    </row>
    <row r="461" ht="14.25" customHeight="1">
      <c r="A461" s="10"/>
    </row>
    <row r="462" ht="14.25" customHeight="1">
      <c r="A462" s="10"/>
    </row>
    <row r="463" ht="14.25" customHeight="1">
      <c r="A463" s="10"/>
    </row>
    <row r="464" ht="14.25" customHeight="1">
      <c r="A464" s="10"/>
    </row>
    <row r="465" ht="14.25" customHeight="1">
      <c r="A465" s="10"/>
    </row>
    <row r="466" ht="14.25" customHeight="1">
      <c r="A466" s="10"/>
    </row>
    <row r="467" ht="14.25" customHeight="1">
      <c r="A467" s="10"/>
    </row>
    <row r="468" ht="14.25" customHeight="1">
      <c r="A468" s="10"/>
    </row>
    <row r="469" ht="14.25" customHeight="1">
      <c r="A469" s="10"/>
    </row>
    <row r="470" ht="14.25" customHeight="1">
      <c r="A470" s="10"/>
    </row>
    <row r="471" ht="14.25" customHeight="1">
      <c r="A471" s="10"/>
    </row>
    <row r="472" ht="14.25" customHeight="1">
      <c r="A472" s="10"/>
    </row>
    <row r="473" ht="14.25" customHeight="1">
      <c r="A473" s="10"/>
    </row>
    <row r="474" ht="14.25" customHeight="1">
      <c r="A474" s="10"/>
    </row>
    <row r="475" ht="14.25" customHeight="1">
      <c r="A475" s="10"/>
    </row>
    <row r="476" ht="14.25" customHeight="1">
      <c r="A476" s="10"/>
    </row>
    <row r="477" ht="14.25" customHeight="1">
      <c r="A477" s="10"/>
    </row>
    <row r="478" ht="14.25" customHeight="1">
      <c r="A478" s="10"/>
    </row>
    <row r="479" ht="14.25" customHeight="1">
      <c r="A479" s="10"/>
    </row>
    <row r="480" ht="14.25" customHeight="1">
      <c r="A480" s="10"/>
    </row>
    <row r="481" ht="14.25" customHeight="1">
      <c r="A481" s="10"/>
    </row>
    <row r="482" ht="14.25" customHeight="1">
      <c r="A482" s="10"/>
    </row>
    <row r="483" ht="14.25" customHeight="1">
      <c r="A483" s="10"/>
    </row>
    <row r="484" ht="14.25" customHeight="1">
      <c r="A484" s="10"/>
    </row>
    <row r="485" ht="14.25" customHeight="1">
      <c r="A485" s="10"/>
    </row>
    <row r="486" ht="14.25" customHeight="1">
      <c r="A486" s="10"/>
    </row>
    <row r="487" ht="14.25" customHeight="1">
      <c r="A487" s="10"/>
    </row>
    <row r="488" ht="14.25" customHeight="1">
      <c r="A488" s="10"/>
    </row>
    <row r="489" ht="14.25" customHeight="1">
      <c r="A489" s="10"/>
    </row>
    <row r="490" ht="14.25" customHeight="1">
      <c r="A490" s="10"/>
    </row>
    <row r="491" ht="14.25" customHeight="1">
      <c r="A491" s="10"/>
    </row>
    <row r="492" ht="14.25" customHeight="1">
      <c r="A492" s="10"/>
    </row>
    <row r="493" ht="14.25" customHeight="1">
      <c r="A493" s="10"/>
    </row>
    <row r="494" ht="14.25" customHeight="1">
      <c r="A494" s="10"/>
    </row>
    <row r="495" ht="14.25" customHeight="1">
      <c r="A495" s="10"/>
    </row>
    <row r="496" ht="14.25" customHeight="1">
      <c r="A496" s="10"/>
    </row>
    <row r="497" ht="14.25" customHeight="1">
      <c r="A497" s="10"/>
    </row>
    <row r="498" ht="14.25" customHeight="1">
      <c r="A498" s="10"/>
    </row>
    <row r="499" ht="14.25" customHeight="1">
      <c r="A499" s="10"/>
    </row>
    <row r="500" ht="14.25" customHeight="1">
      <c r="A500" s="10"/>
    </row>
    <row r="501" ht="14.25" customHeight="1">
      <c r="A501" s="10"/>
    </row>
    <row r="502" ht="14.25" customHeight="1">
      <c r="A502" s="10"/>
    </row>
    <row r="503" ht="14.25" customHeight="1">
      <c r="A503" s="10"/>
    </row>
    <row r="504" ht="14.25" customHeight="1">
      <c r="A504" s="10"/>
    </row>
    <row r="505" ht="14.25" customHeight="1">
      <c r="A505" s="10"/>
    </row>
    <row r="506" ht="14.25" customHeight="1">
      <c r="A506" s="10"/>
    </row>
    <row r="507" ht="14.25" customHeight="1">
      <c r="A507" s="10"/>
    </row>
    <row r="508" ht="14.25" customHeight="1">
      <c r="A508" s="10"/>
    </row>
    <row r="509" ht="14.25" customHeight="1">
      <c r="A509" s="10"/>
    </row>
    <row r="510" ht="14.25" customHeight="1">
      <c r="A510" s="10"/>
    </row>
    <row r="511" ht="14.25" customHeight="1">
      <c r="A511" s="10"/>
    </row>
    <row r="512" ht="14.25" customHeight="1">
      <c r="A512" s="10"/>
    </row>
    <row r="513" ht="14.25" customHeight="1">
      <c r="A513" s="10"/>
    </row>
    <row r="514" ht="14.25" customHeight="1">
      <c r="A514" s="10"/>
    </row>
    <row r="515" ht="14.25" customHeight="1">
      <c r="A515" s="10"/>
    </row>
    <row r="516" ht="14.25" customHeight="1">
      <c r="A516" s="10"/>
    </row>
    <row r="517" ht="14.25" customHeight="1">
      <c r="A517" s="10"/>
    </row>
    <row r="518" ht="14.25" customHeight="1">
      <c r="A518" s="10"/>
    </row>
    <row r="519" ht="14.25" customHeight="1">
      <c r="A519" s="10"/>
    </row>
    <row r="520" ht="14.25" customHeight="1">
      <c r="A520" s="10"/>
    </row>
    <row r="521" ht="14.25" customHeight="1">
      <c r="A521" s="10"/>
    </row>
    <row r="522" ht="14.25" customHeight="1">
      <c r="A522" s="10"/>
    </row>
    <row r="523" ht="14.25" customHeight="1">
      <c r="A523" s="10"/>
    </row>
    <row r="524" ht="14.25" customHeight="1">
      <c r="A524" s="10"/>
    </row>
    <row r="525" ht="14.25" customHeight="1">
      <c r="A525" s="10"/>
    </row>
    <row r="526" ht="14.25" customHeight="1">
      <c r="A526" s="10"/>
    </row>
    <row r="527" ht="14.25" customHeight="1">
      <c r="A527" s="10"/>
    </row>
    <row r="528" ht="14.25" customHeight="1">
      <c r="A528" s="10"/>
    </row>
    <row r="529" ht="14.25" customHeight="1">
      <c r="A529" s="10"/>
    </row>
    <row r="530" ht="14.25" customHeight="1">
      <c r="A530" s="10"/>
    </row>
    <row r="531" ht="14.25" customHeight="1">
      <c r="A531" s="10"/>
    </row>
    <row r="532" ht="14.25" customHeight="1">
      <c r="A532" s="10"/>
    </row>
    <row r="533" ht="14.25" customHeight="1">
      <c r="A533" s="10"/>
    </row>
    <row r="534" ht="14.25" customHeight="1">
      <c r="A534" s="10"/>
    </row>
    <row r="535" ht="14.25" customHeight="1">
      <c r="A535" s="10"/>
    </row>
    <row r="536" ht="14.25" customHeight="1">
      <c r="A536" s="10"/>
    </row>
    <row r="537" ht="14.25" customHeight="1">
      <c r="A537" s="10"/>
    </row>
    <row r="538" ht="14.25" customHeight="1">
      <c r="A538" s="10"/>
    </row>
    <row r="539" ht="14.25" customHeight="1">
      <c r="A539" s="10"/>
    </row>
    <row r="540" ht="14.25" customHeight="1">
      <c r="A540" s="10"/>
    </row>
    <row r="541" ht="14.25" customHeight="1">
      <c r="A541" s="10"/>
    </row>
    <row r="542" ht="14.25" customHeight="1">
      <c r="A542" s="10"/>
    </row>
    <row r="543" ht="14.25" customHeight="1">
      <c r="A543" s="10"/>
    </row>
    <row r="544" ht="14.25" customHeight="1">
      <c r="A544" s="10"/>
    </row>
    <row r="545" ht="14.25" customHeight="1">
      <c r="A545" s="10"/>
    </row>
    <row r="546" ht="14.25" customHeight="1">
      <c r="A546" s="10"/>
    </row>
    <row r="547" ht="14.25" customHeight="1">
      <c r="A547" s="10"/>
    </row>
    <row r="548" ht="14.25" customHeight="1">
      <c r="A548" s="10"/>
    </row>
    <row r="549" ht="14.25" customHeight="1">
      <c r="A549" s="10"/>
    </row>
    <row r="550" ht="14.25" customHeight="1">
      <c r="A550" s="10"/>
    </row>
    <row r="551" ht="14.25" customHeight="1">
      <c r="A551" s="10"/>
    </row>
    <row r="552" ht="14.25" customHeight="1">
      <c r="A552" s="10"/>
    </row>
    <row r="553" ht="14.25" customHeight="1">
      <c r="A553" s="10"/>
    </row>
    <row r="554" ht="14.25" customHeight="1">
      <c r="A554" s="10"/>
    </row>
    <row r="555" ht="14.25" customHeight="1">
      <c r="A555" s="10"/>
    </row>
    <row r="556" ht="14.25" customHeight="1">
      <c r="A556" s="10"/>
    </row>
    <row r="557" ht="14.25" customHeight="1">
      <c r="A557" s="10"/>
    </row>
    <row r="558" ht="14.25" customHeight="1">
      <c r="A558" s="10"/>
    </row>
    <row r="559" ht="14.25" customHeight="1">
      <c r="A559" s="10"/>
    </row>
    <row r="560" ht="14.25" customHeight="1">
      <c r="A560" s="10"/>
    </row>
    <row r="561" ht="14.25" customHeight="1">
      <c r="A561" s="10"/>
    </row>
    <row r="562" ht="14.25" customHeight="1">
      <c r="A562" s="10"/>
    </row>
    <row r="563" ht="14.25" customHeight="1">
      <c r="A563" s="10"/>
    </row>
    <row r="564" ht="14.25" customHeight="1">
      <c r="A564" s="10"/>
    </row>
    <row r="565" ht="14.25" customHeight="1">
      <c r="A565" s="10"/>
    </row>
    <row r="566" ht="14.25" customHeight="1">
      <c r="A566" s="10"/>
    </row>
    <row r="567" ht="14.25" customHeight="1">
      <c r="A567" s="10"/>
    </row>
    <row r="568" ht="14.25" customHeight="1">
      <c r="A568" s="10"/>
    </row>
    <row r="569" ht="14.25" customHeight="1">
      <c r="A569" s="10"/>
    </row>
    <row r="570" ht="14.25" customHeight="1">
      <c r="A570" s="10"/>
    </row>
    <row r="571" ht="14.25" customHeight="1">
      <c r="A571" s="10"/>
    </row>
    <row r="572" ht="14.25" customHeight="1">
      <c r="A572" s="10"/>
    </row>
    <row r="573" ht="14.25" customHeight="1">
      <c r="A573" s="10"/>
    </row>
    <row r="574" ht="14.25" customHeight="1">
      <c r="A574" s="10"/>
    </row>
    <row r="575" ht="14.25" customHeight="1">
      <c r="A575" s="10"/>
    </row>
    <row r="576" ht="14.25" customHeight="1">
      <c r="A576" s="10"/>
    </row>
    <row r="577" ht="14.25" customHeight="1">
      <c r="A577" s="10"/>
    </row>
    <row r="578" ht="14.25" customHeight="1">
      <c r="A578" s="10"/>
    </row>
    <row r="579" ht="14.25" customHeight="1">
      <c r="A579" s="10"/>
    </row>
    <row r="580" ht="14.25" customHeight="1">
      <c r="A580" s="10"/>
    </row>
    <row r="581" ht="14.25" customHeight="1">
      <c r="A581" s="10"/>
    </row>
    <row r="582" ht="14.25" customHeight="1">
      <c r="A582" s="10"/>
    </row>
    <row r="583" ht="14.25" customHeight="1">
      <c r="A583" s="10"/>
    </row>
    <row r="584" ht="14.25" customHeight="1">
      <c r="A584" s="10"/>
    </row>
    <row r="585" ht="14.25" customHeight="1">
      <c r="A585" s="10"/>
    </row>
    <row r="586" ht="14.25" customHeight="1">
      <c r="A586" s="10"/>
    </row>
    <row r="587" ht="14.25" customHeight="1">
      <c r="A587" s="10"/>
    </row>
    <row r="588" ht="14.25" customHeight="1">
      <c r="A588" s="10"/>
    </row>
    <row r="589" ht="14.25" customHeight="1">
      <c r="A589" s="10"/>
    </row>
    <row r="590" ht="14.25" customHeight="1">
      <c r="A590" s="10"/>
    </row>
    <row r="591" ht="14.25" customHeight="1">
      <c r="A591" s="10"/>
    </row>
    <row r="592" ht="14.25" customHeight="1">
      <c r="A592" s="10"/>
    </row>
    <row r="593" ht="14.25" customHeight="1">
      <c r="A593" s="10"/>
    </row>
    <row r="594" ht="14.25" customHeight="1">
      <c r="A594" s="10"/>
    </row>
    <row r="595" ht="14.25" customHeight="1">
      <c r="A595" s="10"/>
    </row>
    <row r="596" ht="14.25" customHeight="1">
      <c r="A596" s="10"/>
    </row>
    <row r="597" ht="14.25" customHeight="1">
      <c r="A597" s="10"/>
    </row>
    <row r="598" ht="14.25" customHeight="1">
      <c r="A598" s="10"/>
    </row>
    <row r="599" ht="14.25" customHeight="1">
      <c r="A599" s="10"/>
    </row>
    <row r="600" ht="14.25" customHeight="1">
      <c r="A600" s="10"/>
    </row>
    <row r="601" ht="14.25" customHeight="1">
      <c r="A601" s="10"/>
    </row>
    <row r="602" ht="14.25" customHeight="1">
      <c r="A602" s="10"/>
    </row>
    <row r="603" ht="14.25" customHeight="1">
      <c r="A603" s="10"/>
    </row>
    <row r="604" ht="14.25" customHeight="1">
      <c r="A604" s="10"/>
    </row>
    <row r="605" ht="14.25" customHeight="1">
      <c r="A605" s="10"/>
    </row>
    <row r="606" ht="14.25" customHeight="1">
      <c r="A606" s="10"/>
    </row>
    <row r="607" ht="14.25" customHeight="1">
      <c r="A607" s="10"/>
    </row>
    <row r="608" ht="14.25" customHeight="1">
      <c r="A608" s="10"/>
    </row>
    <row r="609" ht="14.25" customHeight="1">
      <c r="A609" s="10"/>
    </row>
    <row r="610" ht="14.25" customHeight="1">
      <c r="A610" s="10"/>
    </row>
    <row r="611" ht="14.25" customHeight="1">
      <c r="A611" s="10"/>
    </row>
    <row r="612" ht="14.25" customHeight="1">
      <c r="A612" s="10"/>
    </row>
    <row r="613" ht="14.25" customHeight="1">
      <c r="A613" s="10"/>
    </row>
    <row r="614" ht="14.25" customHeight="1">
      <c r="A614" s="10"/>
    </row>
    <row r="615" ht="14.25" customHeight="1">
      <c r="A615" s="10"/>
    </row>
    <row r="616" ht="14.25" customHeight="1">
      <c r="A616" s="10"/>
    </row>
    <row r="617" ht="14.25" customHeight="1">
      <c r="A617" s="10"/>
    </row>
    <row r="618" ht="14.25" customHeight="1">
      <c r="A618" s="10"/>
    </row>
    <row r="619" ht="14.25" customHeight="1">
      <c r="A619" s="10"/>
    </row>
    <row r="620" ht="14.25" customHeight="1">
      <c r="A620" s="10"/>
    </row>
    <row r="621" ht="14.25" customHeight="1">
      <c r="A621" s="10"/>
    </row>
    <row r="622" ht="14.25" customHeight="1">
      <c r="A622" s="10"/>
    </row>
    <row r="623" ht="14.25" customHeight="1">
      <c r="A623" s="10"/>
    </row>
    <row r="624" ht="14.25" customHeight="1">
      <c r="A624" s="10"/>
    </row>
    <row r="625" ht="14.25" customHeight="1">
      <c r="A625" s="10"/>
    </row>
    <row r="626" ht="14.25" customHeight="1">
      <c r="A626" s="10"/>
    </row>
    <row r="627" ht="14.25" customHeight="1">
      <c r="A627" s="10"/>
    </row>
    <row r="628" ht="14.25" customHeight="1">
      <c r="A628" s="10"/>
    </row>
    <row r="629" ht="14.25" customHeight="1">
      <c r="A629" s="10"/>
    </row>
    <row r="630" ht="14.25" customHeight="1">
      <c r="A630" s="10"/>
    </row>
    <row r="631" ht="14.25" customHeight="1">
      <c r="A631" s="10"/>
    </row>
    <row r="632" ht="14.25" customHeight="1">
      <c r="A632" s="10"/>
    </row>
    <row r="633" ht="14.25" customHeight="1">
      <c r="A633" s="10"/>
    </row>
    <row r="634" ht="14.25" customHeight="1">
      <c r="A634" s="10"/>
    </row>
    <row r="635" ht="14.25" customHeight="1">
      <c r="A635" s="10"/>
    </row>
    <row r="636" ht="14.25" customHeight="1">
      <c r="A636" s="10"/>
    </row>
    <row r="637" ht="14.25" customHeight="1">
      <c r="A637" s="10"/>
    </row>
    <row r="638" ht="14.25" customHeight="1">
      <c r="A638" s="10"/>
    </row>
    <row r="639" ht="14.25" customHeight="1">
      <c r="A639" s="10"/>
    </row>
    <row r="640" ht="14.25" customHeight="1">
      <c r="A640" s="10"/>
    </row>
    <row r="641" ht="14.25" customHeight="1">
      <c r="A641" s="10"/>
    </row>
    <row r="642" ht="14.25" customHeight="1">
      <c r="A642" s="10"/>
    </row>
    <row r="643" ht="14.25" customHeight="1">
      <c r="A643" s="10"/>
    </row>
    <row r="644" ht="14.25" customHeight="1">
      <c r="A644" s="10"/>
    </row>
    <row r="645" ht="14.25" customHeight="1">
      <c r="A645" s="10"/>
    </row>
    <row r="646" ht="14.25" customHeight="1">
      <c r="A646" s="10"/>
    </row>
    <row r="647" ht="14.25" customHeight="1">
      <c r="A647" s="10"/>
    </row>
    <row r="648" ht="14.25" customHeight="1">
      <c r="A648" s="10"/>
    </row>
    <row r="649" ht="14.25" customHeight="1">
      <c r="A649" s="10"/>
    </row>
    <row r="650" ht="14.25" customHeight="1">
      <c r="A650" s="10"/>
    </row>
    <row r="651" ht="14.25" customHeight="1">
      <c r="A651" s="10"/>
    </row>
    <row r="652" ht="14.25" customHeight="1">
      <c r="A652" s="10"/>
    </row>
    <row r="653" ht="14.25" customHeight="1">
      <c r="A653" s="10"/>
    </row>
    <row r="654" ht="14.25" customHeight="1">
      <c r="A654" s="10"/>
    </row>
    <row r="655" ht="14.25" customHeight="1">
      <c r="A655" s="10"/>
    </row>
    <row r="656" ht="14.25" customHeight="1">
      <c r="A656" s="10"/>
    </row>
    <row r="657" ht="14.25" customHeight="1">
      <c r="A657" s="10"/>
    </row>
    <row r="658" ht="14.25" customHeight="1">
      <c r="A658" s="10"/>
    </row>
    <row r="659" ht="14.25" customHeight="1">
      <c r="A659" s="10"/>
    </row>
    <row r="660" ht="14.25" customHeight="1">
      <c r="A660" s="10"/>
    </row>
    <row r="661" ht="14.25" customHeight="1">
      <c r="A661" s="10"/>
    </row>
    <row r="662" ht="14.25" customHeight="1">
      <c r="A662" s="10"/>
    </row>
    <row r="663" ht="14.25" customHeight="1">
      <c r="A663" s="10"/>
    </row>
    <row r="664" ht="14.25" customHeight="1">
      <c r="A664" s="10"/>
    </row>
    <row r="665" ht="14.25" customHeight="1">
      <c r="A665" s="10"/>
    </row>
    <row r="666" ht="14.25" customHeight="1">
      <c r="A666" s="10"/>
    </row>
    <row r="667" ht="14.25" customHeight="1">
      <c r="A667" s="10"/>
    </row>
    <row r="668" ht="14.25" customHeight="1">
      <c r="A668" s="10"/>
    </row>
    <row r="669" ht="14.25" customHeight="1">
      <c r="A669" s="10"/>
    </row>
    <row r="670" ht="14.25" customHeight="1">
      <c r="A670" s="10"/>
    </row>
    <row r="671" ht="14.25" customHeight="1">
      <c r="A671" s="10"/>
    </row>
    <row r="672" ht="14.25" customHeight="1">
      <c r="A672" s="10"/>
    </row>
    <row r="673" ht="14.25" customHeight="1">
      <c r="A673" s="10"/>
    </row>
    <row r="674" ht="14.25" customHeight="1">
      <c r="A674" s="10"/>
    </row>
    <row r="675" ht="14.25" customHeight="1">
      <c r="A675" s="10"/>
    </row>
    <row r="676" ht="14.25" customHeight="1">
      <c r="A676" s="10"/>
    </row>
    <row r="677" ht="14.25" customHeight="1">
      <c r="A677" s="10"/>
    </row>
    <row r="678" ht="14.25" customHeight="1">
      <c r="A678" s="10"/>
    </row>
    <row r="679" ht="14.25" customHeight="1">
      <c r="A679" s="10"/>
    </row>
    <row r="680" ht="14.25" customHeight="1">
      <c r="A680" s="10"/>
    </row>
    <row r="681" ht="14.25" customHeight="1">
      <c r="A681" s="10"/>
    </row>
    <row r="682" ht="14.25" customHeight="1">
      <c r="A682" s="10"/>
    </row>
    <row r="683" ht="14.25" customHeight="1">
      <c r="A683" s="10"/>
    </row>
    <row r="684" ht="14.25" customHeight="1">
      <c r="A684" s="10"/>
    </row>
    <row r="685" ht="14.25" customHeight="1">
      <c r="A685" s="10"/>
    </row>
    <row r="686" ht="14.25" customHeight="1">
      <c r="A686" s="10"/>
    </row>
    <row r="687" ht="14.25" customHeight="1">
      <c r="A687" s="10"/>
    </row>
    <row r="688" ht="14.25" customHeight="1">
      <c r="A688" s="10"/>
    </row>
    <row r="689" ht="14.25" customHeight="1">
      <c r="A689" s="10"/>
    </row>
    <row r="690" ht="14.25" customHeight="1">
      <c r="A690" s="10"/>
    </row>
    <row r="691" ht="14.25" customHeight="1">
      <c r="A691" s="10"/>
    </row>
    <row r="692" ht="14.25" customHeight="1">
      <c r="A692" s="10"/>
    </row>
    <row r="693" ht="14.25" customHeight="1">
      <c r="A693" s="10"/>
    </row>
    <row r="694" ht="14.25" customHeight="1">
      <c r="A694" s="10"/>
    </row>
    <row r="695" ht="14.25" customHeight="1">
      <c r="A695" s="10"/>
    </row>
    <row r="696" ht="14.25" customHeight="1">
      <c r="A696" s="10"/>
    </row>
    <row r="697" ht="14.25" customHeight="1">
      <c r="A697" s="10"/>
    </row>
    <row r="698" ht="14.25" customHeight="1">
      <c r="A698" s="10"/>
    </row>
    <row r="699" ht="14.25" customHeight="1">
      <c r="A699" s="10"/>
    </row>
    <row r="700" ht="14.25" customHeight="1">
      <c r="A700" s="10"/>
    </row>
    <row r="701" ht="14.25" customHeight="1">
      <c r="A701" s="10"/>
    </row>
    <row r="702" ht="14.25" customHeight="1">
      <c r="A702" s="10"/>
    </row>
    <row r="703" ht="14.25" customHeight="1">
      <c r="A703" s="10"/>
    </row>
    <row r="704" ht="14.25" customHeight="1">
      <c r="A704" s="10"/>
    </row>
    <row r="705" ht="14.25" customHeight="1">
      <c r="A705" s="10"/>
    </row>
    <row r="706" ht="14.25" customHeight="1">
      <c r="A706" s="10"/>
    </row>
    <row r="707" ht="14.25" customHeight="1">
      <c r="A707" s="10"/>
    </row>
    <row r="708" ht="14.25" customHeight="1">
      <c r="A708" s="10"/>
    </row>
    <row r="709" ht="14.25" customHeight="1">
      <c r="A709" s="10"/>
    </row>
    <row r="710" ht="14.25" customHeight="1">
      <c r="A710" s="10"/>
    </row>
    <row r="711" ht="14.25" customHeight="1">
      <c r="A711" s="10"/>
    </row>
    <row r="712" ht="14.25" customHeight="1">
      <c r="A712" s="10"/>
    </row>
    <row r="713" ht="14.25" customHeight="1">
      <c r="A713" s="10"/>
    </row>
    <row r="714" ht="14.25" customHeight="1">
      <c r="A714" s="10"/>
    </row>
    <row r="715" ht="14.25" customHeight="1">
      <c r="A715" s="10"/>
    </row>
    <row r="716" ht="14.25" customHeight="1">
      <c r="A716" s="10"/>
    </row>
    <row r="717" ht="14.25" customHeight="1">
      <c r="A717" s="10"/>
    </row>
    <row r="718" ht="14.25" customHeight="1">
      <c r="A718" s="10"/>
    </row>
    <row r="719" ht="14.25" customHeight="1">
      <c r="A719" s="10"/>
    </row>
    <row r="720" ht="14.25" customHeight="1">
      <c r="A720" s="10"/>
    </row>
    <row r="721" ht="14.25" customHeight="1">
      <c r="A721" s="10"/>
    </row>
    <row r="722" ht="14.25" customHeight="1">
      <c r="A722" s="10"/>
    </row>
    <row r="723" ht="14.25" customHeight="1">
      <c r="A723" s="10"/>
    </row>
    <row r="724" ht="14.25" customHeight="1">
      <c r="A724" s="10"/>
    </row>
    <row r="725" ht="14.25" customHeight="1">
      <c r="A725" s="10"/>
    </row>
    <row r="726" ht="14.25" customHeight="1">
      <c r="A726" s="10"/>
    </row>
    <row r="727" ht="14.25" customHeight="1">
      <c r="A727" s="10"/>
    </row>
    <row r="728" ht="14.25" customHeight="1">
      <c r="A728" s="10"/>
    </row>
    <row r="729" ht="14.25" customHeight="1">
      <c r="A729" s="10"/>
    </row>
    <row r="730" ht="14.25" customHeight="1">
      <c r="A730" s="10"/>
    </row>
    <row r="731" ht="14.25" customHeight="1">
      <c r="A731" s="10"/>
    </row>
    <row r="732" ht="14.25" customHeight="1">
      <c r="A732" s="10"/>
    </row>
    <row r="733" ht="14.25" customHeight="1">
      <c r="A733" s="10"/>
    </row>
    <row r="734" ht="14.25" customHeight="1">
      <c r="A734" s="10"/>
    </row>
    <row r="735" ht="14.25" customHeight="1">
      <c r="A735" s="10"/>
    </row>
    <row r="736" ht="14.25" customHeight="1">
      <c r="A736" s="10"/>
    </row>
    <row r="737" ht="14.25" customHeight="1">
      <c r="A737" s="10"/>
    </row>
    <row r="738" ht="14.25" customHeight="1">
      <c r="A738" s="10"/>
    </row>
    <row r="739" ht="14.25" customHeight="1">
      <c r="A739" s="10"/>
    </row>
    <row r="740" ht="14.25" customHeight="1">
      <c r="A740" s="10"/>
    </row>
    <row r="741" ht="14.25" customHeight="1">
      <c r="A741" s="10"/>
    </row>
    <row r="742" ht="14.25" customHeight="1">
      <c r="A742" s="10"/>
    </row>
    <row r="743" ht="14.25" customHeight="1">
      <c r="A743" s="10"/>
    </row>
    <row r="744" ht="14.25" customHeight="1">
      <c r="A744" s="10"/>
    </row>
    <row r="745" ht="14.25" customHeight="1">
      <c r="A745" s="10"/>
    </row>
    <row r="746" ht="14.25" customHeight="1">
      <c r="A746" s="10"/>
    </row>
    <row r="747" ht="14.25" customHeight="1">
      <c r="A747" s="10"/>
    </row>
    <row r="748" ht="14.25" customHeight="1">
      <c r="A748" s="10"/>
    </row>
    <row r="749" ht="14.25" customHeight="1">
      <c r="A749" s="10"/>
    </row>
    <row r="750" ht="14.25" customHeight="1">
      <c r="A750" s="10"/>
    </row>
    <row r="751" ht="14.25" customHeight="1">
      <c r="A751" s="10"/>
    </row>
    <row r="752" ht="14.25" customHeight="1">
      <c r="A752" s="10"/>
    </row>
    <row r="753" ht="14.25" customHeight="1">
      <c r="A753" s="10"/>
    </row>
    <row r="754" ht="14.25" customHeight="1">
      <c r="A754" s="10"/>
    </row>
    <row r="755" ht="14.25" customHeight="1">
      <c r="A755" s="10"/>
    </row>
    <row r="756" ht="14.25" customHeight="1">
      <c r="A756" s="10"/>
    </row>
    <row r="757" ht="14.25" customHeight="1">
      <c r="A757" s="10"/>
    </row>
    <row r="758" ht="14.25" customHeight="1">
      <c r="A758" s="10"/>
    </row>
    <row r="759" ht="14.25" customHeight="1">
      <c r="A759" s="10"/>
    </row>
    <row r="760" ht="14.25" customHeight="1">
      <c r="A760" s="10"/>
    </row>
    <row r="761" ht="14.25" customHeight="1">
      <c r="A761" s="10"/>
    </row>
    <row r="762" ht="14.25" customHeight="1">
      <c r="A762" s="10"/>
    </row>
    <row r="763" ht="14.25" customHeight="1">
      <c r="A763" s="10"/>
    </row>
    <row r="764" ht="14.25" customHeight="1">
      <c r="A764" s="10"/>
    </row>
    <row r="765" ht="14.25" customHeight="1">
      <c r="A765" s="10"/>
    </row>
    <row r="766" ht="14.25" customHeight="1">
      <c r="A766" s="10"/>
    </row>
    <row r="767" ht="14.25" customHeight="1">
      <c r="A767" s="10"/>
    </row>
    <row r="768" ht="14.25" customHeight="1">
      <c r="A768" s="10"/>
    </row>
    <row r="769" ht="14.25" customHeight="1">
      <c r="A769" s="10"/>
    </row>
    <row r="770" ht="14.25" customHeight="1">
      <c r="A770" s="10"/>
    </row>
    <row r="771" ht="14.25" customHeight="1">
      <c r="A771" s="10"/>
    </row>
    <row r="772" ht="14.25" customHeight="1">
      <c r="A772" s="10"/>
    </row>
    <row r="773" ht="14.25" customHeight="1">
      <c r="A773" s="10"/>
    </row>
    <row r="774" ht="14.25" customHeight="1">
      <c r="A774" s="10"/>
    </row>
    <row r="775" ht="14.25" customHeight="1">
      <c r="A775" s="10"/>
    </row>
    <row r="776" ht="14.25" customHeight="1">
      <c r="A776" s="10"/>
    </row>
    <row r="777" ht="14.25" customHeight="1">
      <c r="A777" s="10"/>
    </row>
    <row r="778" ht="14.25" customHeight="1">
      <c r="A778" s="10"/>
    </row>
    <row r="779" ht="14.25" customHeight="1">
      <c r="A779" s="10"/>
    </row>
    <row r="780" ht="14.25" customHeight="1">
      <c r="A780" s="10"/>
    </row>
    <row r="781" ht="14.25" customHeight="1">
      <c r="A781" s="10"/>
    </row>
    <row r="782" ht="14.25" customHeight="1">
      <c r="A782" s="10"/>
    </row>
    <row r="783" ht="14.25" customHeight="1">
      <c r="A783" s="10"/>
    </row>
    <row r="784" ht="14.25" customHeight="1">
      <c r="A784" s="10"/>
    </row>
    <row r="785" ht="14.25" customHeight="1">
      <c r="A785" s="10"/>
    </row>
    <row r="786" ht="14.25" customHeight="1">
      <c r="A786" s="10"/>
    </row>
    <row r="787" ht="14.25" customHeight="1">
      <c r="A787" s="10"/>
    </row>
    <row r="788" ht="14.25" customHeight="1">
      <c r="A788" s="10"/>
    </row>
    <row r="789" ht="14.25" customHeight="1">
      <c r="A789" s="10"/>
    </row>
    <row r="790" ht="14.25" customHeight="1">
      <c r="A790" s="10"/>
    </row>
    <row r="791" ht="14.25" customHeight="1">
      <c r="A791" s="10"/>
    </row>
    <row r="792" ht="14.25" customHeight="1">
      <c r="A792" s="10"/>
    </row>
    <row r="793" ht="14.25" customHeight="1">
      <c r="A793" s="10"/>
    </row>
    <row r="794" ht="14.25" customHeight="1">
      <c r="A794" s="10"/>
    </row>
    <row r="795" ht="14.25" customHeight="1">
      <c r="A795" s="10"/>
    </row>
    <row r="796" ht="14.25" customHeight="1">
      <c r="A796" s="10"/>
    </row>
    <row r="797" ht="14.25" customHeight="1">
      <c r="A797" s="10"/>
    </row>
    <row r="798" ht="14.25" customHeight="1">
      <c r="A798" s="10"/>
    </row>
    <row r="799" ht="14.25" customHeight="1">
      <c r="A799" s="10"/>
    </row>
    <row r="800" ht="14.25" customHeight="1">
      <c r="A800" s="10"/>
    </row>
    <row r="801" ht="14.25" customHeight="1">
      <c r="A801" s="10"/>
    </row>
    <row r="802" ht="14.25" customHeight="1">
      <c r="A802" s="10"/>
    </row>
    <row r="803" ht="14.25" customHeight="1">
      <c r="A803" s="10"/>
    </row>
    <row r="804" ht="14.25" customHeight="1">
      <c r="A804" s="10"/>
    </row>
    <row r="805" ht="14.25" customHeight="1">
      <c r="A805" s="10"/>
    </row>
    <row r="806" ht="14.25" customHeight="1">
      <c r="A806" s="10"/>
    </row>
    <row r="807" ht="14.25" customHeight="1">
      <c r="A807" s="10"/>
    </row>
    <row r="808" ht="14.25" customHeight="1">
      <c r="A808" s="10"/>
    </row>
    <row r="809" ht="14.25" customHeight="1">
      <c r="A809" s="10"/>
    </row>
    <row r="810" ht="14.25" customHeight="1">
      <c r="A810" s="10"/>
    </row>
    <row r="811" ht="14.25" customHeight="1">
      <c r="A811" s="10"/>
    </row>
    <row r="812" ht="14.25" customHeight="1">
      <c r="A812" s="10"/>
    </row>
    <row r="813" ht="14.25" customHeight="1">
      <c r="A813" s="10"/>
    </row>
    <row r="814" ht="14.25" customHeight="1">
      <c r="A814" s="10"/>
    </row>
    <row r="815" ht="14.25" customHeight="1">
      <c r="A815" s="10"/>
    </row>
    <row r="816" ht="14.25" customHeight="1">
      <c r="A816" s="10"/>
    </row>
    <row r="817" ht="14.25" customHeight="1">
      <c r="A817" s="10"/>
    </row>
    <row r="818" ht="14.25" customHeight="1">
      <c r="A818" s="10"/>
    </row>
    <row r="819" ht="14.25" customHeight="1">
      <c r="A819" s="10"/>
    </row>
    <row r="820" ht="14.25" customHeight="1">
      <c r="A820" s="10"/>
    </row>
    <row r="821" ht="14.25" customHeight="1">
      <c r="A821" s="10"/>
    </row>
    <row r="822" ht="14.25" customHeight="1">
      <c r="A822" s="10"/>
    </row>
    <row r="823" ht="14.25" customHeight="1">
      <c r="A823" s="10"/>
    </row>
    <row r="824" ht="14.25" customHeight="1">
      <c r="A824" s="10"/>
    </row>
    <row r="825" ht="14.25" customHeight="1">
      <c r="A825" s="10"/>
    </row>
    <row r="826" ht="14.25" customHeight="1">
      <c r="A826" s="10"/>
    </row>
    <row r="827" ht="14.25" customHeight="1">
      <c r="A827" s="10"/>
    </row>
    <row r="828" ht="14.25" customHeight="1">
      <c r="A828" s="10"/>
    </row>
    <row r="829" ht="14.25" customHeight="1">
      <c r="A829" s="10"/>
    </row>
    <row r="830" ht="14.25" customHeight="1">
      <c r="A830" s="10"/>
    </row>
    <row r="831" ht="14.25" customHeight="1">
      <c r="A831" s="10"/>
    </row>
    <row r="832" ht="14.25" customHeight="1">
      <c r="A832" s="10"/>
    </row>
    <row r="833" ht="14.25" customHeight="1">
      <c r="A833" s="10"/>
    </row>
    <row r="834" ht="14.25" customHeight="1">
      <c r="A834" s="10"/>
    </row>
    <row r="835" ht="14.25" customHeight="1">
      <c r="A835" s="10"/>
    </row>
    <row r="836" ht="14.25" customHeight="1">
      <c r="A836" s="10"/>
    </row>
    <row r="837" ht="14.25" customHeight="1">
      <c r="A837" s="10"/>
    </row>
    <row r="838" ht="14.25" customHeight="1">
      <c r="A838" s="10"/>
    </row>
    <row r="839" ht="14.25" customHeight="1">
      <c r="A839" s="10"/>
    </row>
    <row r="840" ht="14.25" customHeight="1">
      <c r="A840" s="10"/>
    </row>
    <row r="841" ht="14.25" customHeight="1">
      <c r="A841" s="10"/>
    </row>
    <row r="842" ht="14.25" customHeight="1">
      <c r="A842" s="10"/>
    </row>
    <row r="843" ht="14.25" customHeight="1">
      <c r="A843" s="10"/>
    </row>
    <row r="844" ht="14.25" customHeight="1">
      <c r="A844" s="10"/>
    </row>
    <row r="845" ht="14.25" customHeight="1">
      <c r="A845" s="10"/>
    </row>
    <row r="846" ht="14.25" customHeight="1">
      <c r="A846" s="10"/>
    </row>
    <row r="847" ht="14.25" customHeight="1">
      <c r="A847" s="10"/>
    </row>
    <row r="848" ht="14.25" customHeight="1">
      <c r="A848" s="10"/>
    </row>
    <row r="849" ht="14.25" customHeight="1">
      <c r="A849" s="10"/>
    </row>
    <row r="850" ht="14.25" customHeight="1">
      <c r="A850" s="10"/>
    </row>
    <row r="851" ht="14.25" customHeight="1">
      <c r="A851" s="10"/>
    </row>
    <row r="852" ht="14.25" customHeight="1">
      <c r="A852" s="10"/>
    </row>
    <row r="853" ht="14.25" customHeight="1">
      <c r="A853" s="10"/>
    </row>
    <row r="854" ht="14.25" customHeight="1">
      <c r="A854" s="10"/>
    </row>
    <row r="855" ht="14.25" customHeight="1">
      <c r="A855" s="10"/>
    </row>
    <row r="856" ht="14.25" customHeight="1">
      <c r="A856" s="10"/>
    </row>
    <row r="857" ht="14.25" customHeight="1">
      <c r="A857" s="10"/>
    </row>
    <row r="858" ht="14.25" customHeight="1">
      <c r="A858" s="10"/>
    </row>
    <row r="859" ht="14.25" customHeight="1">
      <c r="A859" s="10"/>
    </row>
    <row r="860" ht="14.25" customHeight="1">
      <c r="A860" s="10"/>
    </row>
    <row r="861" ht="14.25" customHeight="1">
      <c r="A861" s="10"/>
    </row>
    <row r="862" ht="14.25" customHeight="1">
      <c r="A862" s="10"/>
    </row>
    <row r="863" ht="14.25" customHeight="1">
      <c r="A863" s="10"/>
    </row>
    <row r="864" ht="14.25" customHeight="1">
      <c r="A864" s="10"/>
    </row>
    <row r="865" ht="14.25" customHeight="1">
      <c r="A865" s="10"/>
    </row>
    <row r="866" ht="14.25" customHeight="1">
      <c r="A866" s="10"/>
    </row>
    <row r="867" ht="14.25" customHeight="1">
      <c r="A867" s="10"/>
    </row>
    <row r="868" ht="14.25" customHeight="1">
      <c r="A868" s="10"/>
    </row>
    <row r="869" ht="14.25" customHeight="1">
      <c r="A869" s="10"/>
    </row>
    <row r="870" ht="14.25" customHeight="1">
      <c r="A870" s="10"/>
    </row>
    <row r="871" ht="14.25" customHeight="1">
      <c r="A871" s="10"/>
    </row>
    <row r="872" ht="14.25" customHeight="1">
      <c r="A872" s="10"/>
    </row>
    <row r="873" ht="14.25" customHeight="1">
      <c r="A873" s="10"/>
    </row>
    <row r="874" ht="14.25" customHeight="1">
      <c r="A874" s="10"/>
    </row>
    <row r="875" ht="14.25" customHeight="1">
      <c r="A875" s="10"/>
    </row>
    <row r="876" ht="14.25" customHeight="1">
      <c r="A876" s="10"/>
    </row>
    <row r="877" ht="14.25" customHeight="1">
      <c r="A877" s="10"/>
    </row>
    <row r="878" ht="14.25" customHeight="1">
      <c r="A878" s="10"/>
    </row>
    <row r="879" ht="14.25" customHeight="1">
      <c r="A879" s="10"/>
    </row>
    <row r="880" ht="14.25" customHeight="1">
      <c r="A880" s="10"/>
    </row>
    <row r="881" ht="14.25" customHeight="1">
      <c r="A881" s="10"/>
    </row>
    <row r="882" ht="14.25" customHeight="1">
      <c r="A882" s="10"/>
    </row>
    <row r="883" ht="14.25" customHeight="1">
      <c r="A883" s="10"/>
    </row>
    <row r="884" ht="14.25" customHeight="1">
      <c r="A884" s="10"/>
    </row>
    <row r="885" ht="14.25" customHeight="1">
      <c r="A885" s="10"/>
    </row>
    <row r="886" ht="14.25" customHeight="1">
      <c r="A886" s="10"/>
    </row>
    <row r="887" ht="14.25" customHeight="1">
      <c r="A887" s="10"/>
    </row>
    <row r="888" ht="14.25" customHeight="1">
      <c r="A888" s="10"/>
    </row>
    <row r="889" ht="14.25" customHeight="1">
      <c r="A889" s="10"/>
    </row>
    <row r="890" ht="14.25" customHeight="1">
      <c r="A890" s="10"/>
    </row>
    <row r="891" ht="14.25" customHeight="1">
      <c r="A891" s="10"/>
    </row>
    <row r="892" ht="14.25" customHeight="1">
      <c r="A892" s="10"/>
    </row>
    <row r="893" ht="14.25" customHeight="1">
      <c r="A893" s="10"/>
    </row>
    <row r="894" ht="14.25" customHeight="1">
      <c r="A894" s="10"/>
    </row>
    <row r="895" ht="14.25" customHeight="1">
      <c r="A895" s="10"/>
    </row>
    <row r="896" ht="14.25" customHeight="1">
      <c r="A896" s="10"/>
    </row>
    <row r="897" ht="14.25" customHeight="1">
      <c r="A897" s="10"/>
    </row>
    <row r="898" ht="14.25" customHeight="1">
      <c r="A898" s="10"/>
    </row>
    <row r="899" ht="14.25" customHeight="1">
      <c r="A899" s="10"/>
    </row>
    <row r="900" ht="14.25" customHeight="1">
      <c r="A900" s="10"/>
    </row>
    <row r="901" ht="14.25" customHeight="1">
      <c r="A901" s="10"/>
    </row>
    <row r="902" ht="14.25" customHeight="1">
      <c r="A902" s="10"/>
    </row>
    <row r="903" ht="14.25" customHeight="1">
      <c r="A903" s="10"/>
    </row>
    <row r="904" ht="14.25" customHeight="1">
      <c r="A904" s="10"/>
    </row>
    <row r="905" ht="14.25" customHeight="1">
      <c r="A905" s="10"/>
    </row>
    <row r="906" ht="14.25" customHeight="1">
      <c r="A906" s="10"/>
    </row>
    <row r="907" ht="14.25" customHeight="1">
      <c r="A907" s="10"/>
    </row>
    <row r="908" ht="14.25" customHeight="1">
      <c r="A908" s="10"/>
    </row>
    <row r="909" ht="14.25" customHeight="1">
      <c r="A909" s="10"/>
    </row>
    <row r="910" ht="14.25" customHeight="1">
      <c r="A910" s="10"/>
    </row>
    <row r="911" ht="14.25" customHeight="1">
      <c r="A911" s="10"/>
    </row>
    <row r="912" ht="14.25" customHeight="1">
      <c r="A912" s="10"/>
    </row>
    <row r="913" ht="14.25" customHeight="1">
      <c r="A913" s="10"/>
    </row>
    <row r="914" ht="14.25" customHeight="1">
      <c r="A914" s="10"/>
    </row>
    <row r="915" ht="14.25" customHeight="1">
      <c r="A915" s="10"/>
    </row>
    <row r="916" ht="14.25" customHeight="1">
      <c r="A916" s="10"/>
    </row>
    <row r="917" ht="14.25" customHeight="1">
      <c r="A917" s="10"/>
    </row>
    <row r="918" ht="14.25" customHeight="1">
      <c r="A918" s="10"/>
    </row>
    <row r="919" ht="14.25" customHeight="1">
      <c r="A919" s="10"/>
    </row>
    <row r="920" ht="14.25" customHeight="1">
      <c r="A920" s="10"/>
    </row>
    <row r="921" ht="14.25" customHeight="1">
      <c r="A921" s="10"/>
    </row>
    <row r="922" ht="14.25" customHeight="1">
      <c r="A922" s="10"/>
    </row>
    <row r="923" ht="14.25" customHeight="1">
      <c r="A923" s="10"/>
    </row>
    <row r="924" ht="14.25" customHeight="1">
      <c r="A924" s="10"/>
    </row>
    <row r="925" ht="14.25" customHeight="1">
      <c r="A925" s="10"/>
    </row>
    <row r="926" ht="14.25" customHeight="1">
      <c r="A926" s="10"/>
    </row>
    <row r="927" ht="14.25" customHeight="1">
      <c r="A927" s="10"/>
    </row>
    <row r="928" ht="14.25" customHeight="1">
      <c r="A928" s="10"/>
    </row>
    <row r="929" ht="14.25" customHeight="1">
      <c r="A929" s="10"/>
    </row>
    <row r="930" ht="14.25" customHeight="1">
      <c r="A930" s="10"/>
    </row>
    <row r="931" ht="14.25" customHeight="1">
      <c r="A931" s="10"/>
    </row>
    <row r="932" ht="14.25" customHeight="1">
      <c r="A932" s="10"/>
    </row>
    <row r="933" ht="14.25" customHeight="1">
      <c r="A933" s="10"/>
    </row>
    <row r="934" ht="14.25" customHeight="1">
      <c r="A934" s="10"/>
    </row>
    <row r="935" ht="14.25" customHeight="1">
      <c r="A935" s="10"/>
    </row>
    <row r="936" ht="14.25" customHeight="1">
      <c r="A936" s="10"/>
    </row>
    <row r="937" ht="14.25" customHeight="1">
      <c r="A937" s="10"/>
    </row>
    <row r="938" ht="14.25" customHeight="1">
      <c r="A938" s="10"/>
    </row>
    <row r="939" ht="14.25" customHeight="1">
      <c r="A939" s="10"/>
    </row>
    <row r="940" ht="14.25" customHeight="1">
      <c r="A940" s="10"/>
    </row>
    <row r="941" ht="14.25" customHeight="1">
      <c r="A941" s="10"/>
    </row>
    <row r="942" ht="14.25" customHeight="1">
      <c r="A942" s="10"/>
    </row>
    <row r="943" ht="14.25" customHeight="1">
      <c r="A943" s="10"/>
    </row>
    <row r="944" ht="14.25" customHeight="1">
      <c r="A944" s="10"/>
    </row>
    <row r="945" ht="14.25" customHeight="1">
      <c r="A945" s="10"/>
    </row>
    <row r="946" ht="14.25" customHeight="1">
      <c r="A946" s="10"/>
    </row>
    <row r="947" ht="14.25" customHeight="1">
      <c r="A947" s="10"/>
    </row>
    <row r="948" ht="14.25" customHeight="1">
      <c r="A948" s="10"/>
    </row>
    <row r="949" ht="14.25" customHeight="1">
      <c r="A949" s="10"/>
    </row>
    <row r="950" ht="14.25" customHeight="1">
      <c r="A950" s="10"/>
    </row>
    <row r="951" ht="14.25" customHeight="1">
      <c r="A951" s="10"/>
    </row>
    <row r="952" ht="14.25" customHeight="1">
      <c r="A952" s="10"/>
    </row>
    <row r="953" ht="14.25" customHeight="1">
      <c r="A953" s="10"/>
    </row>
    <row r="954" ht="14.25" customHeight="1">
      <c r="A954" s="10"/>
    </row>
    <row r="955" ht="14.25" customHeight="1">
      <c r="A955" s="10"/>
    </row>
    <row r="956" ht="14.25" customHeight="1">
      <c r="A956" s="10"/>
    </row>
    <row r="957" ht="14.25" customHeight="1">
      <c r="A957" s="10"/>
    </row>
    <row r="958" ht="14.25" customHeight="1">
      <c r="A958" s="10"/>
    </row>
    <row r="959" ht="14.25" customHeight="1">
      <c r="A959" s="10"/>
    </row>
    <row r="960" ht="14.25" customHeight="1">
      <c r="A960" s="10"/>
    </row>
    <row r="961" ht="14.25" customHeight="1">
      <c r="A961" s="10"/>
    </row>
    <row r="962" ht="14.25" customHeight="1">
      <c r="A962" s="10"/>
    </row>
    <row r="963" ht="14.25" customHeight="1">
      <c r="A963" s="10"/>
    </row>
    <row r="964" ht="14.25" customHeight="1">
      <c r="A964" s="10"/>
    </row>
    <row r="965" ht="14.25" customHeight="1">
      <c r="A965" s="10"/>
    </row>
    <row r="966" ht="14.25" customHeight="1">
      <c r="A966" s="10"/>
    </row>
    <row r="967" ht="14.25" customHeight="1">
      <c r="A967" s="10"/>
    </row>
    <row r="968" ht="14.25" customHeight="1">
      <c r="A968" s="10"/>
    </row>
    <row r="969" ht="14.25" customHeight="1">
      <c r="A969" s="10"/>
    </row>
    <row r="970" ht="14.25" customHeight="1">
      <c r="A970" s="10"/>
    </row>
    <row r="971" ht="14.25" customHeight="1">
      <c r="A971" s="10"/>
    </row>
    <row r="972" ht="14.25" customHeight="1">
      <c r="A972" s="10"/>
    </row>
    <row r="973" ht="14.25" customHeight="1">
      <c r="A973" s="10"/>
    </row>
    <row r="974" ht="14.25" customHeight="1">
      <c r="A974" s="10"/>
    </row>
    <row r="975" ht="14.25" customHeight="1">
      <c r="A975" s="10"/>
    </row>
    <row r="976" ht="14.25" customHeight="1">
      <c r="A976" s="10"/>
    </row>
    <row r="977" ht="14.25" customHeight="1">
      <c r="A977" s="10"/>
    </row>
    <row r="978" ht="14.25" customHeight="1">
      <c r="A978" s="10"/>
    </row>
    <row r="979" ht="14.25" customHeight="1">
      <c r="A979" s="10"/>
    </row>
    <row r="980" ht="14.25" customHeight="1">
      <c r="A980" s="10"/>
    </row>
    <row r="981" ht="14.25" customHeight="1">
      <c r="A981" s="10"/>
    </row>
    <row r="982" ht="14.25" customHeight="1">
      <c r="A982" s="10"/>
    </row>
    <row r="983" ht="14.25" customHeight="1">
      <c r="A983" s="10"/>
    </row>
    <row r="984" ht="14.25" customHeight="1">
      <c r="A984" s="10"/>
    </row>
    <row r="985" ht="14.25" customHeight="1">
      <c r="A985" s="10"/>
    </row>
    <row r="986" ht="14.25" customHeight="1">
      <c r="A986" s="10"/>
    </row>
    <row r="987" ht="14.25" customHeight="1">
      <c r="A987" s="10"/>
    </row>
    <row r="988" ht="14.25" customHeight="1">
      <c r="A988" s="10"/>
    </row>
    <row r="989" ht="14.25" customHeight="1">
      <c r="A989" s="10"/>
    </row>
    <row r="990" ht="14.25" customHeight="1">
      <c r="A990" s="10"/>
    </row>
    <row r="991" ht="14.25" customHeight="1">
      <c r="A991" s="10"/>
    </row>
    <row r="992" ht="14.25" customHeight="1">
      <c r="A992" s="10"/>
    </row>
    <row r="993" ht="14.25" customHeight="1">
      <c r="A993" s="10"/>
    </row>
    <row r="994" ht="14.25" customHeight="1">
      <c r="A994" s="10"/>
    </row>
    <row r="995" ht="14.25" customHeight="1">
      <c r="A995" s="10"/>
    </row>
    <row r="996" ht="14.25" customHeight="1">
      <c r="A996" s="10"/>
    </row>
    <row r="997" ht="14.25" customHeight="1">
      <c r="A997" s="10"/>
    </row>
    <row r="998" ht="14.25" customHeight="1">
      <c r="A998" s="10"/>
    </row>
    <row r="999" ht="14.25" customHeight="1">
      <c r="A999" s="10"/>
    </row>
    <row r="1000" ht="14.25" customHeight="1">
      <c r="A1000" s="10"/>
    </row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0.0"/>
    <col customWidth="1" min="4" max="4" width="22.0"/>
    <col customWidth="1" min="5" max="26" width="8.57"/>
  </cols>
  <sheetData>
    <row r="1" ht="30.0" customHeight="1">
      <c r="A1" s="20" t="s">
        <v>127</v>
      </c>
    </row>
    <row r="2" ht="21.75" customHeight="1">
      <c r="A2" s="1" t="s">
        <v>128</v>
      </c>
      <c r="B2" s="21" t="s">
        <v>126</v>
      </c>
      <c r="C2" s="1" t="s">
        <v>30</v>
      </c>
      <c r="D2" s="1" t="s">
        <v>129</v>
      </c>
    </row>
    <row r="3" ht="19.5" customHeight="1">
      <c r="A3" s="1">
        <v>1.0</v>
      </c>
      <c r="B3" s="21" t="str">
        <f t="array" ref="B3">IFERROR(INDEX(Elenco!$B$5:$B$25,MATCH(0,COUNTIF($B$2:B2,Elenco!$B$5:$B$25)+IF(Elenco!$C$5:$C$25&lt;&gt;LARGE(Elenco!$C$5:$C$25,1),1,0),0)),"")</f>
        <v>Khawla</v>
      </c>
      <c r="C3" s="1">
        <f t="array" ref="C3">IFERROR(INDEX(Elenco!$C$5:$C$25,MATCH(B3,Elenco!$B$5:$B$25,0)),"")</f>
        <v>13</v>
      </c>
      <c r="D3" s="1" t="s">
        <v>130</v>
      </c>
    </row>
    <row r="4" ht="19.5" customHeight="1">
      <c r="A4" s="1">
        <v>2.0</v>
      </c>
      <c r="B4" s="21" t="str">
        <f t="array" ref="B4">IFERROR(INDEX(Elenco!$B$5:$B$25,MATCH(0,COUNTIF($B$2:B3,Elenco!$B$5:$B$25)+IF(Elenco!$C$5:$C$25&lt;&gt;LARGE(Elenco!$C$5:$C$25,2),1,0),0)),"")</f>
        <v>Claudia S.</v>
      </c>
      <c r="C4" s="1">
        <f t="array" ref="C4">IFERROR(INDEX(Elenco!$C$5:$C$25,MATCH(B4,Elenco!$B$5:$B$25,0)),"")</f>
        <v>13</v>
      </c>
      <c r="D4" s="3"/>
    </row>
    <row r="5" ht="19.5" customHeight="1">
      <c r="A5" s="1">
        <v>3.0</v>
      </c>
      <c r="B5" s="21" t="str">
        <f t="array" ref="B5">IFERROR(INDEX(Elenco!$B$5:$B$25,MATCH(0,COUNTIF($B$2:B4,Elenco!$B$5:$B$25)+IF(Elenco!$C$5:$C$25&lt;&gt;LARGE(Elenco!$C$5:$C$25,3),1,0),0)),"")</f>
        <v>Pier</v>
      </c>
      <c r="C5" s="1">
        <f t="array" ref="C5">IFERROR(INDEX(Elenco!$C$5:$C$25,MATCH(B5,Elenco!$B$5:$B$25,0)),"")</f>
        <v>12</v>
      </c>
      <c r="D5" s="3"/>
    </row>
    <row r="6" ht="19.5" customHeight="1">
      <c r="A6" s="1">
        <v>4.0</v>
      </c>
      <c r="B6" s="21" t="str">
        <f t="array" ref="B6">IFERROR(INDEX(Elenco!$B$5:$B$25,MATCH(0,COUNTIF($B$2:B5,Elenco!$B$5:$B$25)+IF(Elenco!$C$5:$C$25&lt;&gt;LARGE(Elenco!$C$5:$C$25,4),1,0),0)),"")</f>
        <v>Alessandra C.</v>
      </c>
      <c r="C6" s="1">
        <f t="array" ref="C6">IFERROR(INDEX(Elenco!$C$5:$C$25,MATCH(B6,Elenco!$B$5:$B$25,0)),"")</f>
        <v>12</v>
      </c>
      <c r="D6" s="3"/>
    </row>
    <row r="7" ht="19.5" customHeight="1">
      <c r="A7" s="1">
        <v>5.0</v>
      </c>
      <c r="B7" s="21" t="str">
        <f t="array" ref="B7">IFERROR(INDEX(Elenco!$B$5:$B$25,MATCH(0,COUNTIF($B$2:B6,Elenco!$B$5:$B$25)+IF(Elenco!$C$5:$C$25&lt;&gt;LARGE(Elenco!$C$5:$C$25,5),1,0),0)),"")</f>
        <v>Marco G.</v>
      </c>
      <c r="C7" s="1">
        <f t="array" ref="C7">IFERROR(INDEX(Elenco!$C$5:$C$25,MATCH(B7,Elenco!$B$5:$B$25,0)),"")</f>
        <v>12</v>
      </c>
      <c r="D7" s="1"/>
    </row>
    <row r="8" ht="19.5" customHeight="1">
      <c r="A8" s="1">
        <v>6.0</v>
      </c>
      <c r="B8" s="21" t="str">
        <f t="array" ref="B8">IFERROR(INDEX(Elenco!$B$5:$B$25,MATCH(0,COUNTIF($B$2:B7,Elenco!$B$5:$B$25)+IF(Elenco!$C$5:$C$25&lt;&gt;LARGE(Elenco!$C$5:$C$25,6),1,0),0)),"")</f>
        <v>Alessio S.</v>
      </c>
      <c r="C8" s="1">
        <f t="array" ref="C8">IFERROR(INDEX(Elenco!$C$5:$C$25,MATCH(B8,Elenco!$B$5:$B$25,0)),"")</f>
        <v>12</v>
      </c>
      <c r="D8" s="3"/>
    </row>
    <row r="9" ht="19.5" customHeight="1">
      <c r="A9" s="1">
        <v>7.0</v>
      </c>
      <c r="B9" s="21" t="str">
        <f t="array" ref="B9">IFERROR(INDEX(Elenco!$B$5:$B$25,MATCH(0,COUNTIF($B$2:B8,Elenco!$B$5:$B$25)+IF(Elenco!$C$5:$C$25&lt;&gt;LARGE(Elenco!$C$5:$C$25,7),1,0),0)),"")</f>
        <v>Federico R.</v>
      </c>
      <c r="C9" s="1">
        <f t="array" ref="C9">IFERROR(INDEX(Elenco!$C$5:$C$25,MATCH(B9,Elenco!$B$5:$B$25,0)),"")</f>
        <v>12</v>
      </c>
      <c r="D9" s="1"/>
    </row>
    <row r="10" ht="19.5" customHeight="1">
      <c r="A10" s="1">
        <v>8.0</v>
      </c>
      <c r="B10" s="21" t="str">
        <f t="array" ref="B10">IFERROR(INDEX(Elenco!$B$5:$B$25,MATCH(0,COUNTIF($B$2:B9,Elenco!$B$5:$B$25)+IF(Elenco!$C$5:$C$25&lt;&gt;LARGE(Elenco!$C$5:$C$25,8),1,0),0)),"")</f>
        <v>Alessio R.</v>
      </c>
      <c r="C10" s="1">
        <f t="array" ref="C10">IFERROR(INDEX(Elenco!$C$5:$C$25,MATCH(B10,Elenco!$B$5:$B$25,0)),"")</f>
        <v>11</v>
      </c>
      <c r="D10" s="3"/>
    </row>
    <row r="11" ht="19.5" customHeight="1">
      <c r="A11" s="1">
        <v>9.0</v>
      </c>
      <c r="B11" s="21" t="str">
        <f t="array" ref="B11">IFERROR(INDEX(Elenco!$B$5:$B$25,MATCH(0,COUNTIF($B$2:B10,Elenco!$B$5:$B$25)+IF(Elenco!$C$5:$C$25&lt;&gt;LARGE(Elenco!$C$5:$C$25,9),1,0),0)),"")</f>
        <v>Leo Proietti</v>
      </c>
      <c r="C11" s="1">
        <f t="array" ref="C11">IFERROR(INDEX(Elenco!$C$5:$C$25,MATCH(B11,Elenco!$B$5:$B$25,0)),"")</f>
        <v>10</v>
      </c>
      <c r="D11" s="1"/>
    </row>
    <row r="12" ht="19.5" customHeight="1">
      <c r="A12" s="1">
        <v>10.0</v>
      </c>
      <c r="B12" s="21" t="str">
        <f t="array" ref="B12">IFERROR(INDEX(Elenco!$B$5:$B$25,MATCH(0,COUNTIF($B$2:B11,Elenco!$B$5:$B$25)+IF(Elenco!$C$5:$C$25&lt;&gt;LARGE(Elenco!$C$5:$C$25,10),1,0),0)),"")</f>
        <v>Jack</v>
      </c>
      <c r="C12" s="1">
        <f t="array" ref="C12">IFERROR(INDEX(Elenco!$C$5:$C$25,MATCH(B12,Elenco!$B$5:$B$25,0)),"")</f>
        <v>10</v>
      </c>
      <c r="D12" s="3"/>
    </row>
    <row r="13" ht="19.5" customHeight="1">
      <c r="A13" s="1">
        <v>11.0</v>
      </c>
      <c r="B13" s="21" t="str">
        <f t="array" ref="B13">IFERROR(INDEX(Elenco!$B$5:$B$25,MATCH(0,COUNTIF($B$2:B12,Elenco!$B$5:$B$25)+IF(Elenco!$C$5:$C$25&lt;&gt;LARGE(Elenco!$C$5:$C$25,11),1,0),0)),"")</f>
        <v>Edoardo</v>
      </c>
      <c r="C13" s="1">
        <f t="array" ref="C13">IFERROR(INDEX(Elenco!$C$5:$C$25,MATCH(B13,Elenco!$B$5:$B$25,0)),"")</f>
        <v>10</v>
      </c>
      <c r="D13" s="1"/>
    </row>
    <row r="14" ht="19.5" customHeight="1">
      <c r="A14" s="1">
        <v>12.0</v>
      </c>
      <c r="B14" s="21" t="str">
        <f t="array" ref="B14">IFERROR(INDEX(Elenco!$B$5:$B$25,MATCH(0,COUNTIF($B$2:B13,Elenco!$B$5:$B$25)+IF(Elenco!$C$5:$C$25&lt;&gt;LARGE(Elenco!$C$5:$C$25,12),1,0),0)),"")</f>
        <v>Tania</v>
      </c>
      <c r="C14" s="1">
        <f t="array" ref="C14">IFERROR(INDEX(Elenco!$C$5:$C$25,MATCH(B14,Elenco!$B$5:$B$25,0)),"")</f>
        <v>10</v>
      </c>
      <c r="D14" s="3"/>
    </row>
    <row r="15" ht="19.5" customHeight="1">
      <c r="A15" s="1">
        <v>13.0</v>
      </c>
      <c r="B15" s="21" t="str">
        <f t="array" ref="B15">IFERROR(INDEX(Elenco!$B$5:$B$25,MATCH(0,COUNTIF($B$2:B14,Elenco!$B$5:$B$25)+IF(Elenco!$C$5:$C$25&lt;&gt;LARGE(Elenco!$C$5:$C$25,13),1,0),0)),"")</f>
        <v>Valerio</v>
      </c>
      <c r="C15" s="1">
        <f t="array" ref="C15">IFERROR(INDEX(Elenco!$C$5:$C$25,MATCH(B15,Elenco!$B$5:$B$25,0)),"")</f>
        <v>9</v>
      </c>
      <c r="D15" s="1"/>
    </row>
    <row r="16" ht="19.5" customHeight="1">
      <c r="A16" s="1">
        <v>14.0</v>
      </c>
      <c r="B16" s="21" t="str">
        <f t="array" ref="B16">IFERROR(INDEX(Elenco!$B$5:$B$25,MATCH(0,COUNTIF($B$2:B15,Elenco!$B$5:$B$25)+IF(Elenco!$C$5:$C$25&lt;&gt;LARGE(Elenco!$C$5:$C$25,14),1,0),0)),"")</f>
        <v>Alessandra P.</v>
      </c>
      <c r="C16" s="1">
        <f t="array" ref="C16">IFERROR(INDEX(Elenco!$C$5:$C$25,MATCH(B16,Elenco!$B$5:$B$25,0)),"")</f>
        <v>9</v>
      </c>
      <c r="D16" s="3"/>
    </row>
    <row r="17" ht="19.5" customHeight="1">
      <c r="A17" s="1">
        <v>15.0</v>
      </c>
      <c r="B17" s="21" t="str">
        <f t="array" ref="B17">IFERROR(INDEX(Elenco!$B$5:$B$25,MATCH(0,COUNTIF($B$2:B16,Elenco!$B$5:$B$25)+IF(Elenco!$C$5:$C$25&lt;&gt;LARGE(Elenco!$C$5:$C$25,15),1,0),0)),"")</f>
        <v>Claudia A.</v>
      </c>
      <c r="C17" s="1">
        <f t="array" ref="C17">IFERROR(INDEX(Elenco!$C$5:$C$25,MATCH(B17,Elenco!$B$5:$B$25,0)),"")</f>
        <v>9</v>
      </c>
      <c r="D17" s="1"/>
    </row>
    <row r="18" ht="19.5" customHeight="1">
      <c r="A18" s="1">
        <v>16.0</v>
      </c>
      <c r="B18" s="21" t="str">
        <f t="array" ref="B18">IFERROR(INDEX(Elenco!$B$5:$B$25,MATCH(0,COUNTIF($B$2:B17,Elenco!$B$5:$B$25)+IF(Elenco!$C$5:$C$25&lt;&gt;LARGE(Elenco!$C$5:$C$25,16),1,0),0)),"")</f>
        <v>Marco P.</v>
      </c>
      <c r="C18" s="1">
        <f t="array" ref="C18">IFERROR(INDEX(Elenco!$C$5:$C$25,MATCH(B18,Elenco!$B$5:$B$25,0)),"")</f>
        <v>9</v>
      </c>
      <c r="D18" s="3"/>
    </row>
    <row r="19" ht="19.5" customHeight="1">
      <c r="A19" s="1">
        <v>17.0</v>
      </c>
      <c r="B19" s="21" t="str">
        <f t="array" ref="B19">IFERROR(INDEX(Elenco!$B$5:$B$25,MATCH(0,COUNTIF($B$2:B18,Elenco!$B$5:$B$25)+IF(Elenco!$C$5:$C$25&lt;&gt;LARGE(Elenco!$C$5:$C$25,17),1,0),0)),"")</f>
        <v>Antonella</v>
      </c>
      <c r="C19" s="1">
        <f t="array" ref="C19">IFERROR(INDEX(Elenco!$C$5:$C$25,MATCH(B19,Elenco!$B$5:$B$25,0)),"")</f>
        <v>8</v>
      </c>
      <c r="D19" s="1"/>
    </row>
    <row r="20" ht="19.5" customHeight="1">
      <c r="A20" s="1">
        <v>18.0</v>
      </c>
      <c r="B20" s="21" t="str">
        <f t="array" ref="B20">IFERROR(INDEX(Elenco!$B$5:$B$25,MATCH(0,COUNTIF($B$2:B19,Elenco!$B$5:$B$25)+IF(Elenco!$C$5:$C$25&lt;&gt;LARGE(Elenco!$C$5:$C$25,18),1,0),0)),"")</f>
        <v>Samuele</v>
      </c>
      <c r="C20" s="1">
        <f t="array" ref="C20">IFERROR(INDEX(Elenco!$C$5:$C$25,MATCH(B20,Elenco!$B$5:$B$25,0)),"")</f>
        <v>8</v>
      </c>
      <c r="D20" s="3"/>
    </row>
    <row r="21" ht="19.5" customHeight="1">
      <c r="A21" s="1">
        <v>19.0</v>
      </c>
      <c r="B21" s="21" t="str">
        <f t="array" ref="B21">IFERROR(INDEX(Elenco!$B$5:$B$25,MATCH(0,COUNTIF($B$2:B20,Elenco!$B$5:$B$25)+IF(Elenco!$C$5:$C$25&lt;&gt;LARGE(Elenco!$C$5:$C$25,19),1,0),0)),"")</f>
        <v>Leo Policella</v>
      </c>
      <c r="C21" s="1">
        <f t="array" ref="C21">IFERROR(INDEX(Elenco!$C$5:$C$25,MATCH(B21,Elenco!$B$5:$B$25,0)),"")</f>
        <v>8</v>
      </c>
      <c r="D21" s="1"/>
    </row>
    <row r="22" ht="19.5" customHeight="1">
      <c r="A22" s="1">
        <v>20.0</v>
      </c>
      <c r="B22" s="21" t="str">
        <f t="array" ref="B22">IFERROR(INDEX(Elenco!$B$5:$B$25,MATCH(0,COUNTIF($B$2:B21,Elenco!$B$5:$B$25)+IF(Elenco!$C$5:$C$25&lt;&gt;LARGE(Elenco!$C$5:$C$25,20),1,0),0)),"")</f>
        <v>Maila</v>
      </c>
      <c r="C22" s="1">
        <f t="array" ref="C22">IFERROR(INDEX(Elenco!$C$5:$C$25,MATCH(B22,Elenco!$B$5:$B$25,0)),"")</f>
        <v>8</v>
      </c>
      <c r="D22" s="3"/>
    </row>
    <row r="23" ht="19.5" customHeight="1">
      <c r="A23" s="1">
        <v>21.0</v>
      </c>
      <c r="B23" s="21" t="str">
        <f t="array" ref="B23">IFERROR(INDEX(Elenco!$B$5:$B$25,MATCH(0,COUNTIF($B$2:B22,Elenco!$B$5:$B$25)+IF(Elenco!$C$5:$C$25&lt;&gt;LARGE(Elenco!$C$5:$C$25,21),1,0),0)),"")</f>
        <v>Vito</v>
      </c>
      <c r="C23" s="1">
        <f t="array" ref="C23">IFERROR(INDEX(Elenco!$C$5:$C$25,MATCH(B23,Elenco!$B$5:$B$25,0)),"")</f>
        <v>6</v>
      </c>
      <c r="D23" s="1"/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A1:D1"/>
  </mergeCell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2026-06-09T09:48:00Z</dcterms:created>
  <dc:creator>openpyxl</dc:creator>
</cp:coreProperties>
</file>